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rafal\OneDrive\Desktop\Projects\datajam-miedo-que-no-baja\docs\"/>
    </mc:Choice>
  </mc:AlternateContent>
  <xr:revisionPtr revIDLastSave="0" documentId="13_ncr:1_{06ECF298-3E9F-41BE-ACC8-A9CAEE50740C}" xr6:coauthVersionLast="47" xr6:coauthVersionMax="47" xr10:uidLastSave="{00000000-0000-0000-0000-000000000000}"/>
  <bookViews>
    <workbookView xWindow="1860" yWindow="1860" windowWidth="15375" windowHeight="7785" xr2:uid="{00000000-000D-0000-FFFF-FFFF00000000}"/>
  </bookViews>
  <sheets>
    <sheet name="Portada" sheetId="1" r:id="rId1"/>
    <sheet name="Resumen" sheetId="2" r:id="rId2"/>
    <sheet name="Panel_localidad" sheetId="3" r:id="rId3"/>
    <sheet name="Indice_brecha" sheetId="4" r:id="rId4"/>
    <sheet name="Cifra_oculta" sheetId="5" r:id="rId5"/>
    <sheet name="Modelos" sheetId="6" r:id="rId6"/>
    <sheet name="Genero" sheetId="7" r:id="rId7"/>
    <sheet name="Serie_delitos" sheetId="8" r:id="rId8"/>
    <sheet name="Simulador" sheetId="9" r:id="rId9"/>
    <sheet name="Diccionario" sheetId="10" r:id="rId10"/>
    <sheet name="Fuentes" sheetId="11" r:id="rId11"/>
    <sheet name="Bitacora" sheetId="12" r:id="rId12"/>
    <sheet name="Datos_escenarios" sheetId="13" r:id="rId13"/>
  </sheets>
  <definedNames>
    <definedName name="_xlnm.Print_Area" localSheetId="4">Cifra_oculta!$A$1:$O$64</definedName>
    <definedName name="_xlnm.Print_Area" localSheetId="6">Genero!$A$1:$I$77</definedName>
    <definedName name="_xlnm.Print_Area" localSheetId="3">Indice_brecha!$A$1:$O$54</definedName>
    <definedName name="_xlnm.Print_Area" localSheetId="5">Modelos!$A$1:$Q$107</definedName>
    <definedName name="_xlnm.Print_Area" localSheetId="0">Portada!$A$1:$E$44</definedName>
    <definedName name="_xlnm.Print_Area" localSheetId="1">Resumen!$A$1:$P$35</definedName>
    <definedName name="_xlnm.Print_Area" localSheetId="7">Serie_delitos!$A$1:$N$57</definedName>
    <definedName name="_xlnm.Print_Area" localSheetId="8">Simulador!$A$1:$P$37</definedName>
    <definedName name="f_alumbrado">Simulador!$F$7</definedName>
    <definedName name="f_parques">Simulador!$F$8</definedName>
    <definedName name="grupo_sim">Simulador!$F$9</definedName>
    <definedName name="_xlnm.Print_Titles" localSheetId="11">Bitacora!$6:$6</definedName>
    <definedName name="_xlnm.Print_Titles" localSheetId="12">Datos_escenarios!$7:$7</definedName>
    <definedName name="_xlnm.Print_Titles" localSheetId="9">Diccionario!$6:$6</definedName>
    <definedName name="_xlnm.Print_Titles" localSheetId="10">Fuentes!$6:$6</definedName>
    <definedName name="_xlnm.Print_Titles" localSheetId="2">Panel_localidad!$6:$7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9" l="1"/>
  <c r="D33" i="9"/>
  <c r="E33" i="9" s="1"/>
  <c r="F33" i="9" s="1"/>
  <c r="R33" i="9" s="1"/>
  <c r="G32" i="9"/>
  <c r="D32" i="9"/>
  <c r="E32" i="9" s="1"/>
  <c r="F32" i="9" s="1"/>
  <c r="R32" i="9" s="1"/>
  <c r="G31" i="9"/>
  <c r="D31" i="9"/>
  <c r="E31" i="9" s="1"/>
  <c r="F31" i="9" s="1"/>
  <c r="R31" i="9" s="1"/>
  <c r="G30" i="9"/>
  <c r="D30" i="9"/>
  <c r="E30" i="9" s="1"/>
  <c r="F30" i="9" s="1"/>
  <c r="R30" i="9" s="1"/>
  <c r="G29" i="9"/>
  <c r="D29" i="9"/>
  <c r="E29" i="9" s="1"/>
  <c r="F29" i="9" s="1"/>
  <c r="R29" i="9" s="1"/>
  <c r="G28" i="9"/>
  <c r="D28" i="9"/>
  <c r="E28" i="9" s="1"/>
  <c r="F28" i="9" s="1"/>
  <c r="R28" i="9" s="1"/>
  <c r="G27" i="9"/>
  <c r="D27" i="9"/>
  <c r="E27" i="9" s="1"/>
  <c r="F27" i="9" s="1"/>
  <c r="R27" i="9" s="1"/>
  <c r="G26" i="9"/>
  <c r="E26" i="9"/>
  <c r="F26" i="9" s="1"/>
  <c r="R26" i="9" s="1"/>
  <c r="D26" i="9"/>
  <c r="G25" i="9"/>
  <c r="D25" i="9"/>
  <c r="E25" i="9" s="1"/>
  <c r="F25" i="9" s="1"/>
  <c r="R25" i="9" s="1"/>
  <c r="G24" i="9"/>
  <c r="D24" i="9"/>
  <c r="E24" i="9" s="1"/>
  <c r="F24" i="9" s="1"/>
  <c r="R24" i="9" s="1"/>
  <c r="G23" i="9"/>
  <c r="D23" i="9"/>
  <c r="E23" i="9" s="1"/>
  <c r="F23" i="9" s="1"/>
  <c r="R23" i="9" s="1"/>
  <c r="G22" i="9"/>
  <c r="E22" i="9"/>
  <c r="F22" i="9" s="1"/>
  <c r="R22" i="9" s="1"/>
  <c r="D22" i="9"/>
  <c r="G21" i="9"/>
  <c r="D21" i="9"/>
  <c r="E21" i="9" s="1"/>
  <c r="F21" i="9" s="1"/>
  <c r="R21" i="9" s="1"/>
  <c r="G20" i="9"/>
  <c r="D20" i="9"/>
  <c r="E20" i="9" s="1"/>
  <c r="F20" i="9" s="1"/>
  <c r="R20" i="9" s="1"/>
  <c r="G19" i="9"/>
  <c r="E19" i="9"/>
  <c r="F19" i="9" s="1"/>
  <c r="R19" i="9" s="1"/>
  <c r="D19" i="9"/>
  <c r="G18" i="9"/>
  <c r="D18" i="9"/>
  <c r="E18" i="9" s="1"/>
  <c r="F18" i="9" s="1"/>
  <c r="R18" i="9" s="1"/>
  <c r="G17" i="9"/>
  <c r="D17" i="9"/>
  <c r="E17" i="9" s="1"/>
  <c r="F17" i="9" s="1"/>
  <c r="R17" i="9" s="1"/>
  <c r="G16" i="9"/>
  <c r="D16" i="9"/>
  <c r="E16" i="9" s="1"/>
  <c r="F16" i="9" s="1"/>
  <c r="R16" i="9" s="1"/>
  <c r="G15" i="9"/>
  <c r="D15" i="9"/>
  <c r="E15" i="9" s="1"/>
  <c r="F15" i="9" s="1"/>
  <c r="R15" i="9" s="1"/>
  <c r="G14" i="9"/>
  <c r="F14" i="9"/>
  <c r="O9" i="9" s="1"/>
  <c r="E14" i="9"/>
  <c r="L8" i="9" s="1"/>
  <c r="D14" i="9"/>
  <c r="I8" i="9"/>
  <c r="L55" i="8"/>
  <c r="K55" i="8"/>
  <c r="J55" i="8"/>
  <c r="I55" i="8"/>
  <c r="H55" i="8"/>
  <c r="G55" i="8"/>
  <c r="F55" i="8"/>
  <c r="E55" i="8"/>
  <c r="D55" i="8"/>
  <c r="L54" i="8"/>
  <c r="K54" i="8"/>
  <c r="J54" i="8"/>
  <c r="I54" i="8"/>
  <c r="H54" i="8"/>
  <c r="G54" i="8"/>
  <c r="F54" i="8"/>
  <c r="E54" i="8"/>
  <c r="D54" i="8"/>
  <c r="L53" i="8"/>
  <c r="K53" i="8"/>
  <c r="J53" i="8"/>
  <c r="I53" i="8"/>
  <c r="H53" i="8"/>
  <c r="G53" i="8"/>
  <c r="F53" i="8"/>
  <c r="E53" i="8"/>
  <c r="D53" i="8"/>
  <c r="L52" i="8"/>
  <c r="K52" i="8"/>
  <c r="J52" i="8"/>
  <c r="I52" i="8"/>
  <c r="H52" i="8"/>
  <c r="G52" i="8"/>
  <c r="F52" i="8"/>
  <c r="E52" i="8"/>
  <c r="D52" i="8"/>
  <c r="L51" i="8"/>
  <c r="K51" i="8"/>
  <c r="J51" i="8"/>
  <c r="I51" i="8"/>
  <c r="H51" i="8"/>
  <c r="G51" i="8"/>
  <c r="F51" i="8"/>
  <c r="E51" i="8"/>
  <c r="D51" i="8"/>
  <c r="L50" i="8"/>
  <c r="K50" i="8"/>
  <c r="J50" i="8"/>
  <c r="I50" i="8"/>
  <c r="H50" i="8"/>
  <c r="G50" i="8"/>
  <c r="F50" i="8"/>
  <c r="E50" i="8"/>
  <c r="D50" i="8"/>
  <c r="L49" i="8"/>
  <c r="K49" i="8"/>
  <c r="J49" i="8"/>
  <c r="I49" i="8"/>
  <c r="H49" i="8"/>
  <c r="G49" i="8"/>
  <c r="F49" i="8"/>
  <c r="E49" i="8"/>
  <c r="D49" i="8"/>
  <c r="L48" i="8"/>
  <c r="K48" i="8"/>
  <c r="J48" i="8"/>
  <c r="I48" i="8"/>
  <c r="H48" i="8"/>
  <c r="G48" i="8"/>
  <c r="F48" i="8"/>
  <c r="E48" i="8"/>
  <c r="D48" i="8"/>
  <c r="L47" i="8"/>
  <c r="K47" i="8"/>
  <c r="J47" i="8"/>
  <c r="I47" i="8"/>
  <c r="H47" i="8"/>
  <c r="G47" i="8"/>
  <c r="F47" i="8"/>
  <c r="E47" i="8"/>
  <c r="D47" i="8"/>
  <c r="L46" i="8"/>
  <c r="K46" i="8"/>
  <c r="J46" i="8"/>
  <c r="I46" i="8"/>
  <c r="H46" i="8"/>
  <c r="G46" i="8"/>
  <c r="F46" i="8"/>
  <c r="E46" i="8"/>
  <c r="D46" i="8"/>
  <c r="L45" i="8"/>
  <c r="K45" i="8"/>
  <c r="J45" i="8"/>
  <c r="I45" i="8"/>
  <c r="H45" i="8"/>
  <c r="G45" i="8"/>
  <c r="F45" i="8"/>
  <c r="E45" i="8"/>
  <c r="D45" i="8"/>
  <c r="N18" i="8"/>
  <c r="M18" i="8"/>
  <c r="N17" i="8"/>
  <c r="M17" i="8"/>
  <c r="N16" i="8"/>
  <c r="M16" i="8"/>
  <c r="N15" i="8"/>
  <c r="M15" i="8"/>
  <c r="N14" i="8"/>
  <c r="M14" i="8"/>
  <c r="N13" i="8"/>
  <c r="M13" i="8"/>
  <c r="N12" i="8"/>
  <c r="M12" i="8"/>
  <c r="N11" i="8"/>
  <c r="M11" i="8"/>
  <c r="N10" i="8"/>
  <c r="M10" i="8"/>
  <c r="N9" i="8"/>
  <c r="M9" i="8"/>
  <c r="N8" i="8"/>
  <c r="M8" i="8"/>
  <c r="G74" i="7"/>
  <c r="G73" i="7"/>
  <c r="G72" i="7"/>
  <c r="G71" i="7"/>
  <c r="G69" i="7"/>
  <c r="G68" i="7"/>
  <c r="G67" i="7"/>
  <c r="G66" i="7"/>
  <c r="G64" i="7"/>
  <c r="G63" i="7"/>
  <c r="G62" i="7"/>
  <c r="G61" i="7"/>
  <c r="H55" i="7"/>
  <c r="E55" i="7"/>
  <c r="H54" i="7"/>
  <c r="E54" i="7"/>
  <c r="H53" i="7"/>
  <c r="E53" i="7"/>
  <c r="H52" i="7"/>
  <c r="E52" i="7"/>
  <c r="H51" i="7"/>
  <c r="E51" i="7"/>
  <c r="H50" i="7"/>
  <c r="E50" i="7"/>
  <c r="H49" i="7"/>
  <c r="E49" i="7"/>
  <c r="H48" i="7"/>
  <c r="E48" i="7"/>
  <c r="H47" i="7"/>
  <c r="E47" i="7"/>
  <c r="H46" i="7"/>
  <c r="E46" i="7"/>
  <c r="H45" i="7"/>
  <c r="E45" i="7"/>
  <c r="H44" i="7"/>
  <c r="E44" i="7"/>
  <c r="H43" i="7"/>
  <c r="E43" i="7"/>
  <c r="H42" i="7"/>
  <c r="E42" i="7"/>
  <c r="H41" i="7"/>
  <c r="E41" i="7"/>
  <c r="H40" i="7"/>
  <c r="E40" i="7"/>
  <c r="H39" i="7"/>
  <c r="E39" i="7"/>
  <c r="H38" i="7"/>
  <c r="E38" i="7"/>
  <c r="H37" i="7"/>
  <c r="E37" i="7"/>
  <c r="M12" i="7"/>
  <c r="L12" i="7"/>
  <c r="E12" i="7"/>
  <c r="M11" i="7"/>
  <c r="L11" i="7"/>
  <c r="E11" i="7"/>
  <c r="M10" i="7"/>
  <c r="L10" i="7"/>
  <c r="E10" i="7"/>
  <c r="E9" i="7"/>
  <c r="G94" i="6"/>
  <c r="G93" i="6"/>
  <c r="G92" i="6"/>
  <c r="G91" i="6"/>
  <c r="G90" i="6"/>
  <c r="H85" i="6"/>
  <c r="H84" i="6"/>
  <c r="H83" i="6"/>
  <c r="H82" i="6"/>
  <c r="H81" i="6"/>
  <c r="H80" i="6"/>
  <c r="H79" i="6"/>
  <c r="H78" i="6"/>
  <c r="H77" i="6"/>
  <c r="H72" i="6"/>
  <c r="H71" i="6"/>
  <c r="H70" i="6"/>
  <c r="H69" i="6"/>
  <c r="H68" i="6"/>
  <c r="H67" i="6"/>
  <c r="H66" i="6"/>
  <c r="H65" i="6"/>
  <c r="H64" i="6"/>
  <c r="H63" i="6"/>
  <c r="H62" i="6"/>
  <c r="H61" i="6"/>
  <c r="H56" i="6"/>
  <c r="H55" i="6"/>
  <c r="H54" i="6"/>
  <c r="H53" i="6"/>
  <c r="H52" i="6"/>
  <c r="H51" i="6"/>
  <c r="H50" i="6"/>
  <c r="H49" i="6"/>
  <c r="H48" i="6"/>
  <c r="H47" i="6"/>
  <c r="H46" i="6"/>
  <c r="H45" i="6"/>
  <c r="H40" i="6"/>
  <c r="H39" i="6"/>
  <c r="H38" i="6"/>
  <c r="H37" i="6"/>
  <c r="H36" i="6"/>
  <c r="H35" i="6"/>
  <c r="H34" i="6"/>
  <c r="H33" i="6"/>
  <c r="H32" i="6"/>
  <c r="H31" i="6"/>
  <c r="H30" i="6"/>
  <c r="H29" i="6"/>
  <c r="H28" i="6"/>
  <c r="H27" i="6"/>
  <c r="T22" i="6"/>
  <c r="S22" i="6"/>
  <c r="H22" i="6"/>
  <c r="T21" i="6"/>
  <c r="S21" i="6"/>
  <c r="H21" i="6"/>
  <c r="T20" i="6"/>
  <c r="S20" i="6"/>
  <c r="H20" i="6"/>
  <c r="T19" i="6"/>
  <c r="S19" i="6"/>
  <c r="H19" i="6"/>
  <c r="T18" i="6"/>
  <c r="S18" i="6"/>
  <c r="H18" i="6"/>
  <c r="T17" i="6"/>
  <c r="S17" i="6"/>
  <c r="H17" i="6"/>
  <c r="T16" i="6"/>
  <c r="S16" i="6"/>
  <c r="H16" i="6"/>
  <c r="T15" i="6"/>
  <c r="S15" i="6"/>
  <c r="H15" i="6"/>
  <c r="T14" i="6"/>
  <c r="S14" i="6"/>
  <c r="H14" i="6"/>
  <c r="T13" i="6"/>
  <c r="S13" i="6"/>
  <c r="H13" i="6"/>
  <c r="T12" i="6"/>
  <c r="S12" i="6"/>
  <c r="H12" i="6"/>
  <c r="T11" i="6"/>
  <c r="S11" i="6"/>
  <c r="H11" i="6"/>
  <c r="N62" i="5"/>
  <c r="N61" i="5"/>
  <c r="N60" i="5"/>
  <c r="N59" i="5"/>
  <c r="N58" i="5"/>
  <c r="N57" i="5"/>
  <c r="N56" i="5"/>
  <c r="I27" i="5"/>
  <c r="F27" i="5"/>
  <c r="J27" i="5" s="1"/>
  <c r="N8" i="2" s="1"/>
  <c r="L26" i="5"/>
  <c r="K26" i="5"/>
  <c r="J26" i="5"/>
  <c r="R26" i="5" s="1"/>
  <c r="R25" i="5"/>
  <c r="N25" i="5"/>
  <c r="L25" i="5"/>
  <c r="Q25" i="5" s="1"/>
  <c r="K25" i="5"/>
  <c r="J25" i="5"/>
  <c r="L24" i="5"/>
  <c r="K24" i="5"/>
  <c r="J24" i="5"/>
  <c r="L23" i="5"/>
  <c r="K23" i="5"/>
  <c r="J23" i="5"/>
  <c r="R23" i="5" s="1"/>
  <c r="L22" i="5"/>
  <c r="K22" i="5"/>
  <c r="J22" i="5"/>
  <c r="R22" i="5" s="1"/>
  <c r="R21" i="5"/>
  <c r="N21" i="5"/>
  <c r="L21" i="5"/>
  <c r="Q21" i="5" s="1"/>
  <c r="K21" i="5"/>
  <c r="J21" i="5"/>
  <c r="L20" i="5"/>
  <c r="K20" i="5"/>
  <c r="J20" i="5"/>
  <c r="L19" i="5"/>
  <c r="K19" i="5"/>
  <c r="J19" i="5"/>
  <c r="R19" i="5" s="1"/>
  <c r="L18" i="5"/>
  <c r="K18" i="5"/>
  <c r="J18" i="5"/>
  <c r="R18" i="5" s="1"/>
  <c r="R17" i="5"/>
  <c r="N17" i="5"/>
  <c r="L17" i="5"/>
  <c r="Q17" i="5" s="1"/>
  <c r="K17" i="5"/>
  <c r="J17" i="5"/>
  <c r="L16" i="5"/>
  <c r="K16" i="5"/>
  <c r="J16" i="5"/>
  <c r="L15" i="5"/>
  <c r="K15" i="5"/>
  <c r="J15" i="5"/>
  <c r="R15" i="5" s="1"/>
  <c r="L14" i="5"/>
  <c r="K14" i="5"/>
  <c r="J14" i="5"/>
  <c r="R14" i="5" s="1"/>
  <c r="R13" i="5"/>
  <c r="N13" i="5"/>
  <c r="L13" i="5"/>
  <c r="Q13" i="5" s="1"/>
  <c r="K13" i="5"/>
  <c r="J13" i="5"/>
  <c r="L12" i="5"/>
  <c r="K12" i="5"/>
  <c r="J12" i="5"/>
  <c r="L11" i="5"/>
  <c r="K11" i="5"/>
  <c r="J11" i="5"/>
  <c r="R11" i="5" s="1"/>
  <c r="L10" i="5"/>
  <c r="K10" i="5"/>
  <c r="J10" i="5"/>
  <c r="R10" i="5" s="1"/>
  <c r="R9" i="5"/>
  <c r="N9" i="5"/>
  <c r="L9" i="5"/>
  <c r="Q9" i="5" s="1"/>
  <c r="K9" i="5"/>
  <c r="J9" i="5"/>
  <c r="L8" i="5"/>
  <c r="K8" i="5"/>
  <c r="J8" i="5"/>
  <c r="F26" i="4"/>
  <c r="G26" i="4" s="1"/>
  <c r="E26" i="4"/>
  <c r="H26" i="4" s="1"/>
  <c r="F25" i="4"/>
  <c r="G25" i="4" s="1"/>
  <c r="E25" i="4"/>
  <c r="F24" i="4"/>
  <c r="G24" i="4" s="1"/>
  <c r="E24" i="4"/>
  <c r="F23" i="4"/>
  <c r="G23" i="4" s="1"/>
  <c r="E23" i="4"/>
  <c r="G22" i="4"/>
  <c r="F22" i="4"/>
  <c r="E22" i="4"/>
  <c r="F21" i="4"/>
  <c r="G21" i="4" s="1"/>
  <c r="E21" i="4"/>
  <c r="G20" i="4"/>
  <c r="F20" i="4"/>
  <c r="E20" i="4"/>
  <c r="F19" i="4"/>
  <c r="G19" i="4" s="1"/>
  <c r="E19" i="4"/>
  <c r="F18" i="4"/>
  <c r="G18" i="4" s="1"/>
  <c r="E18" i="4"/>
  <c r="F17" i="4"/>
  <c r="G17" i="4" s="1"/>
  <c r="E17" i="4"/>
  <c r="F16" i="4"/>
  <c r="G16" i="4" s="1"/>
  <c r="E16" i="4"/>
  <c r="F15" i="4"/>
  <c r="G15" i="4" s="1"/>
  <c r="E15" i="4"/>
  <c r="F14" i="4"/>
  <c r="G14" i="4" s="1"/>
  <c r="E14" i="4"/>
  <c r="F13" i="4"/>
  <c r="G13" i="4" s="1"/>
  <c r="E13" i="4"/>
  <c r="F12" i="4"/>
  <c r="G12" i="4" s="1"/>
  <c r="E12" i="4"/>
  <c r="F11" i="4"/>
  <c r="G11" i="4" s="1"/>
  <c r="E11" i="4"/>
  <c r="F10" i="4"/>
  <c r="G10" i="4" s="1"/>
  <c r="E10" i="4"/>
  <c r="F9" i="4"/>
  <c r="G9" i="4" s="1"/>
  <c r="E9" i="4"/>
  <c r="H8" i="4" s="1"/>
  <c r="F8" i="4"/>
  <c r="G8" i="4" s="1"/>
  <c r="E8" i="4"/>
  <c r="M33" i="2"/>
  <c r="K33" i="2"/>
  <c r="I33" i="2"/>
  <c r="C33" i="2"/>
  <c r="B33" i="2"/>
  <c r="M32" i="2"/>
  <c r="K32" i="2"/>
  <c r="I32" i="2"/>
  <c r="C32" i="2"/>
  <c r="B32" i="2"/>
  <c r="M31" i="2"/>
  <c r="K31" i="2"/>
  <c r="I31" i="2"/>
  <c r="C31" i="2"/>
  <c r="B31" i="2"/>
  <c r="M30" i="2"/>
  <c r="K30" i="2"/>
  <c r="I30" i="2"/>
  <c r="C30" i="2"/>
  <c r="B30" i="2"/>
  <c r="M29" i="2"/>
  <c r="K29" i="2"/>
  <c r="I29" i="2"/>
  <c r="C29" i="2"/>
  <c r="B29" i="2"/>
  <c r="N13" i="2"/>
  <c r="F13" i="2"/>
  <c r="B13" i="2"/>
  <c r="J8" i="2"/>
  <c r="B8" i="2"/>
  <c r="H17" i="4" l="1"/>
  <c r="H16" i="4"/>
  <c r="H11" i="4"/>
  <c r="H18" i="4"/>
  <c r="H25" i="4"/>
  <c r="H13" i="4"/>
  <c r="N11" i="5"/>
  <c r="N23" i="5"/>
  <c r="Q11" i="5"/>
  <c r="Q23" i="5"/>
  <c r="N15" i="5"/>
  <c r="N19" i="5"/>
  <c r="H12" i="4"/>
  <c r="R8" i="5"/>
  <c r="R12" i="5"/>
  <c r="R16" i="5"/>
  <c r="R20" i="5"/>
  <c r="R24" i="5"/>
  <c r="Q15" i="5"/>
  <c r="H23" i="4"/>
  <c r="Q19" i="5"/>
  <c r="H20" i="4"/>
  <c r="H19" i="4"/>
  <c r="H15" i="4"/>
  <c r="I16" i="4"/>
  <c r="I22" i="4"/>
  <c r="U33" i="9"/>
  <c r="T33" i="9"/>
  <c r="U28" i="9"/>
  <c r="T19" i="9"/>
  <c r="T28" i="9"/>
  <c r="U21" i="9"/>
  <c r="T24" i="9"/>
  <c r="U19" i="9"/>
  <c r="U30" i="9"/>
  <c r="T21" i="9"/>
  <c r="T30" i="9"/>
  <c r="U23" i="9"/>
  <c r="U26" i="9"/>
  <c r="T26" i="9"/>
  <c r="U32" i="9"/>
  <c r="T23" i="9"/>
  <c r="U16" i="9"/>
  <c r="U18" i="9"/>
  <c r="U17" i="9"/>
  <c r="T32" i="9"/>
  <c r="U25" i="9"/>
  <c r="T16" i="9"/>
  <c r="T25" i="9"/>
  <c r="U27" i="9"/>
  <c r="T18" i="9"/>
  <c r="T29" i="9"/>
  <c r="T17" i="9"/>
  <c r="T27" i="9"/>
  <c r="U20" i="9"/>
  <c r="T22" i="9"/>
  <c r="U29" i="9"/>
  <c r="T20" i="9"/>
  <c r="U22" i="9"/>
  <c r="U15" i="9"/>
  <c r="U24" i="9"/>
  <c r="T15" i="9"/>
  <c r="U31" i="9"/>
  <c r="T31" i="9"/>
  <c r="I10" i="4"/>
  <c r="I18" i="4"/>
  <c r="J18" i="4" s="1"/>
  <c r="I9" i="4"/>
  <c r="I12" i="4"/>
  <c r="I26" i="4"/>
  <c r="J26" i="4" s="1"/>
  <c r="I8" i="4"/>
  <c r="J8" i="4" s="1"/>
  <c r="I15" i="4"/>
  <c r="J15" i="4" s="1"/>
  <c r="I17" i="4"/>
  <c r="J17" i="4" s="1"/>
  <c r="I23" i="4"/>
  <c r="J23" i="4" s="1"/>
  <c r="I25" i="4"/>
  <c r="J25" i="4" s="1"/>
  <c r="I13" i="4"/>
  <c r="J13" i="4" s="1"/>
  <c r="J16" i="4"/>
  <c r="I24" i="4"/>
  <c r="I11" i="4"/>
  <c r="J11" i="4" s="1"/>
  <c r="I19" i="4"/>
  <c r="I14" i="4"/>
  <c r="I20" i="4"/>
  <c r="I21" i="4"/>
  <c r="H21" i="4"/>
  <c r="J21" i="4" s="1"/>
  <c r="H14" i="4"/>
  <c r="H10" i="4"/>
  <c r="H9" i="4"/>
  <c r="O8" i="9"/>
  <c r="N8" i="5"/>
  <c r="N10" i="5"/>
  <c r="N12" i="5"/>
  <c r="N14" i="5"/>
  <c r="N16" i="5"/>
  <c r="N18" i="5"/>
  <c r="N20" i="5"/>
  <c r="N22" i="5"/>
  <c r="N24" i="5"/>
  <c r="N26" i="5"/>
  <c r="H22" i="4"/>
  <c r="Q8" i="5"/>
  <c r="Q10" i="5"/>
  <c r="Q12" i="5"/>
  <c r="Q14" i="5"/>
  <c r="Q16" i="5"/>
  <c r="Q18" i="5"/>
  <c r="Q20" i="5"/>
  <c r="Q22" i="5"/>
  <c r="Q24" i="5"/>
  <c r="Q26" i="5"/>
  <c r="H24" i="4"/>
  <c r="J20" i="4" l="1"/>
  <c r="J12" i="4"/>
  <c r="J19" i="4"/>
  <c r="Q19" i="4" s="1"/>
  <c r="J24" i="4"/>
  <c r="M10" i="5"/>
  <c r="F33" i="2"/>
  <c r="O12" i="4"/>
  <c r="R12" i="4"/>
  <c r="Q12" i="4"/>
  <c r="R18" i="4"/>
  <c r="Q18" i="4"/>
  <c r="O18" i="4"/>
  <c r="M18" i="5"/>
  <c r="R11" i="4"/>
  <c r="M9" i="5"/>
  <c r="Q11" i="4"/>
  <c r="O11" i="4"/>
  <c r="F32" i="2"/>
  <c r="Q13" i="4"/>
  <c r="O13" i="4"/>
  <c r="R13" i="4"/>
  <c r="M14" i="5"/>
  <c r="Q26" i="4"/>
  <c r="O26" i="4"/>
  <c r="M26" i="5"/>
  <c r="R26" i="4"/>
  <c r="R20" i="4"/>
  <c r="Q20" i="4"/>
  <c r="O20" i="4"/>
  <c r="M22" i="5"/>
  <c r="M12" i="5"/>
  <c r="R19" i="4"/>
  <c r="R25" i="4"/>
  <c r="Q25" i="4"/>
  <c r="M20" i="5"/>
  <c r="O25" i="4"/>
  <c r="R16" i="4"/>
  <c r="Q16" i="4"/>
  <c r="O16" i="4"/>
  <c r="M21" i="5"/>
  <c r="F29" i="2"/>
  <c r="R8" i="4"/>
  <c r="M13" i="5"/>
  <c r="O8" i="4"/>
  <c r="Q8" i="4"/>
  <c r="J14" i="4"/>
  <c r="R21" i="4"/>
  <c r="Q21" i="4"/>
  <c r="O21" i="4"/>
  <c r="M25" i="5"/>
  <c r="R23" i="4"/>
  <c r="Q23" i="4"/>
  <c r="O23" i="4"/>
  <c r="M17" i="5"/>
  <c r="J9" i="4"/>
  <c r="M24" i="5"/>
  <c r="O17" i="4"/>
  <c r="Q17" i="4"/>
  <c r="R17" i="4"/>
  <c r="J10" i="4"/>
  <c r="J22" i="4"/>
  <c r="Q15" i="4"/>
  <c r="M11" i="5"/>
  <c r="O15" i="4"/>
  <c r="R15" i="4"/>
  <c r="M19" i="5"/>
  <c r="Q24" i="4"/>
  <c r="O24" i="4"/>
  <c r="R24" i="4"/>
  <c r="O19" i="4" l="1"/>
  <c r="O22" i="4"/>
  <c r="R22" i="4"/>
  <c r="M23" i="5"/>
  <c r="Q22" i="4"/>
  <c r="F31" i="2"/>
  <c r="M8" i="5"/>
  <c r="R10" i="4"/>
  <c r="O10" i="4"/>
  <c r="Q10" i="4"/>
  <c r="M15" i="5"/>
  <c r="R9" i="4"/>
  <c r="Q9" i="4"/>
  <c r="O9" i="4"/>
  <c r="F30" i="2"/>
  <c r="M16" i="5"/>
  <c r="R14" i="4"/>
  <c r="Q14" i="4"/>
  <c r="O14" i="4"/>
  <c r="O8" i="5" l="1"/>
  <c r="O14" i="5"/>
  <c r="O9" i="5"/>
  <c r="O21" i="5"/>
  <c r="O17" i="5"/>
  <c r="O20" i="5"/>
  <c r="O23" i="5"/>
  <c r="O24" i="5"/>
  <c r="O18" i="5"/>
  <c r="O13" i="5"/>
  <c r="O26" i="5"/>
  <c r="O11" i="5"/>
  <c r="O22" i="5"/>
  <c r="O16" i="5"/>
  <c r="O12" i="5"/>
  <c r="O19" i="5"/>
  <c r="O10" i="5"/>
  <c r="O15" i="5"/>
  <c r="O25" i="5"/>
  <c r="J29" i="5" l="1"/>
  <c r="J1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 data squad</author>
  </authors>
  <commentList>
    <comment ref="L16" authorId="0" shapeId="0" xr:uid="{00000000-0006-0000-0700-000001000000}">
      <text>
        <r>
          <rPr>
            <sz val="11"/>
            <color theme="1"/>
            <rFont val="Calibri"/>
            <family val="2"/>
            <scheme val="minor"/>
          </rPr>
          <t>Sin dato publicado para 2026 en la fuente.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The data squad</author>
  </authors>
  <commentList>
    <comment ref="P10" authorId="0" shapeId="0" xr:uid="{00000000-0006-0000-0800-000001000000}">
      <text>
        <r>
          <rPr>
            <sz val="11"/>
            <color theme="1"/>
            <rFont val="Calibri"/>
            <family val="2"/>
            <scheme val="minor"/>
          </rPr>
          <t>Fuente: outputs/resultados.json, adultos_urbanos_bienal (suma del factor de expansión).</t>
        </r>
      </text>
    </comment>
  </commentList>
</comments>
</file>

<file path=xl/sharedStrings.xml><?xml version="1.0" encoding="utf-8"?>
<sst xmlns="http://schemas.openxmlformats.org/spreadsheetml/2006/main" count="1321" uniqueCount="656">
  <si>
    <t>BOGOTÁ DATAJAM 5  ·  2026  ·  LIBRO DE DATOS</t>
  </si>
  <si>
    <t>El miedo que no baja</t>
  </si>
  <si>
    <t>Inseguridad percibida frente a delito registrado en Bogotá</t>
  </si>
  <si>
    <t>5.538 adultos de la Bienal 2025  ·  1.824 encuestas de la EMV 2024 en Bogotá  ·  19 localidades urbanas  ·  10 conjuntos de datos oficiales</t>
  </si>
  <si>
    <t>PREGUNTA ANALÍTICA</t>
  </si>
  <si>
    <t>¿Por qué la inseguridad percibida no baja cuando el delito registrado sí, y en qué territorios debe intervenir primero el Distrito?</t>
  </si>
  <si>
    <t>H1</t>
  </si>
  <si>
    <t>La percepción del barrio depende más del entorno inmediato que del delito registrado en la localidad.</t>
  </si>
  <si>
    <t>H2</t>
  </si>
  <si>
    <t>Parte de la distancia entre miedo y registro es subregistro: donde hay más miedo que delito registrado, más delito queda fuera de las cifras.</t>
  </si>
  <si>
    <t>H3</t>
  </si>
  <si>
    <t>A igual victimización, las mujeres restringen más su vida y temen más el acoso sexual.</t>
  </si>
  <si>
    <t>EQUIPO #16 · THE DATA SQUAD</t>
  </si>
  <si>
    <t>Rafael Estiven Londoño Camacho</t>
  </si>
  <si>
    <t>Brandow Brusly León Rodríguez</t>
  </si>
  <si>
    <t>Samuel Esteban Riveros Cubides</t>
  </si>
  <si>
    <t>CONTENIDO</t>
  </si>
  <si>
    <t>Resumen</t>
  </si>
  <si>
    <t>Cifras clave y los tres hallazgos</t>
  </si>
  <si>
    <t>Panel_localidad</t>
  </si>
  <si>
    <t>Las 19 localidades urbanas: percepción, entorno, victimización, registro y contexto</t>
  </si>
  <si>
    <t>Indice_brecha</t>
  </si>
  <si>
    <t>Ranking del Índice de Brecha de Seguridad con intervalo bootstrap de 90 %</t>
  </si>
  <si>
    <t>Cifra_oculta</t>
  </si>
  <si>
    <t>Víctimas por delito registrado y validaciones territoriales</t>
  </si>
  <si>
    <t>Modelos</t>
  </si>
  <si>
    <t>Efectos marginales del logit ponderado, robustez y capacidad predictiva (AUC)</t>
  </si>
  <si>
    <t>Genero</t>
  </si>
  <si>
    <t>Mujeres frente a hombres a igual edad, estrato y victimización</t>
  </si>
  <si>
    <t>Serie_delitos</t>
  </si>
  <si>
    <t>Delitos registrados 2018-2026 (enero-agosto) e índice 2018 = 100</t>
  </si>
  <si>
    <t>Simulador</t>
  </si>
  <si>
    <t>Escenarios de alumbrado y parques sin atracos con fórmulas vivas</t>
  </si>
  <si>
    <t>Diccionario</t>
  </si>
  <si>
    <t>Definición, unidad, fuente y año de cada indicador y variable</t>
  </si>
  <si>
    <t>Fuentes</t>
  </si>
  <si>
    <t>Entidades, conjuntos de datos y enlaces oficiales</t>
  </si>
  <si>
    <t>Bitacora</t>
  </si>
  <si>
    <t>Bitácora de limpieza e integración de cada fuente</t>
  </si>
  <si>
    <t>Datos_escenarios</t>
  </si>
  <si>
    <t>Probabilidades del modelo que alimentan el simulador</t>
  </si>
  <si>
    <t>CÓMO LEER LOS COLORES</t>
  </si>
  <si>
    <t>Oro: lo que la gente percibe o vive (encuestas de percepción, entorno y victimización).</t>
  </si>
  <si>
    <t>Azul: lo que registran las autoridades (SCJ, Línea 123).</t>
  </si>
  <si>
    <t>Morado y verde: mujeres y hombres.</t>
  </si>
  <si>
    <t>Crema: celdas editables del simulador.</t>
  </si>
  <si>
    <t>Gris claro: efectos cuyo intervalo de confianza cruza 0 (no significativos).</t>
  </si>
  <si>
    <t>Reproducible: todas las cifras salen de outputs/ y data/procesados/ del repositorio, y el libro se regenera con «python src/excel.py». El simulador, el Índice de Brecha, la cifra oculta de Bogotá, el ρ de Spearman y los índices 2018 = 100 son fórmulas vivas.</t>
  </si>
  <si>
    <t>Proyecto académico para el Bogotá DataJam 5. No es un producto oficial de la Alcaldía de Bogotá.</t>
  </si>
  <si>
    <t>EL MIEDO QUE NO BAJA  ·  BOGOTÁ DATAJAM 5  ·  THE DATA SQUAD</t>
  </si>
  <si>
    <t>← Portada</t>
  </si>
  <si>
    <t>El delito registrado baja; el miedo no. Cifras clave y los tres hallazgos.</t>
  </si>
  <si>
    <t>CIFRAS CLAVE</t>
  </si>
  <si>
    <t>REGISTRO · SCJ</t>
  </si>
  <si>
    <t>PERCEPCIÓN · BIENAL 2025</t>
  </si>
  <si>
    <t>CIFRA OCULTA · EMV 2024 + SCJ</t>
  </si>
  <si>
    <t>en el hurto a personas registrado, enero-agosto 2019 → 2026 (210.160 → 73.563 casos).</t>
  </si>
  <si>
    <t>de los adultos califica Bogotá como insegura o muy insegura.</t>
  </si>
  <si>
    <t>dice lo mismo de su propia zona: el resultado que se modela.</t>
  </si>
  <si>
    <t>víctimas por cada delito de alto impacto registrado (de 10,6 en Bosa a 0,7 en Los Mártires).</t>
  </si>
  <si>
    <t>Fuente: Serie_delitos</t>
  </si>
  <si>
    <t>Fuente: resultados.json (Bienal 2025, ponderado)</t>
  </si>
  <si>
    <t>Fuente: Datos_escenarios (Bienal 2025, ponderado)</t>
  </si>
  <si>
    <t>Fuente: Cifra_oculta</t>
  </si>
  <si>
    <t>ENTORNO · MODELO PRINCIPAL</t>
  </si>
  <si>
    <t>GÉNERO · EMV 2024</t>
  </si>
  <si>
    <t>TERRITORIO · VALIDACIÓN</t>
  </si>
  <si>
    <t>PREDICCIÓN · AUC</t>
  </si>
  <si>
    <t>en la probabilidad de sentir insegura la zona si hay atracos en el parque cercano (IC 95 % 6,2 a 17,5).</t>
  </si>
  <si>
    <t>de temor al acoso sexual por ser mujer, a igual edad, estrato y victimización (IC 95 % 12,9 a 23,4).</t>
  </si>
  <si>
    <t>entre el Índice de Brecha y la cifra oculta (Spearman, IC 95 % 0,41 a 0,88; p ajustado = 0,004).</t>
  </si>
  <si>
    <t>de AUC al sumar el delito registrado al perfil (0,609 → 0,611); con el entorno llega a 0,782.</t>
  </si>
  <si>
    <t>Fuente: Modelos</t>
  </si>
  <si>
    <t>Fuente: Genero</t>
  </si>
  <si>
    <t>TRES HALLAZGOS</t>
  </si>
  <si>
    <t>La ciudad no ve buena parte de su delito.</t>
  </si>
  <si>
    <t>Hay unas 5,6 víctimas por cada delito de alto impacto registrado, de 10,6 en Bosa a 0,7 en Los Mártires. El Índice de Brecha crece donde más se subregistra: ρ = 0,72 (IC 95 % 0,41 a 0,88; p ajustado = 0,004), la única relación territorial que sobrevive a la corrección por pruebas múltiples.</t>
  </si>
  <si>
    <t>El barrio se siente por lo que pasa en él.</t>
  </si>
  <si>
    <t>Ver atracos en el parque cercano suma +13,3 pp a la probabilidad de sentir insegura la zona y los conflictos vecinales hasta +14,7 pp. El hurto registrado de la localidad no tiene efecto (p wild = 0,92) y casi no mejora la predicción: AUC 0,609 → 0,611. Con el entorno llega a 0,782.</t>
  </si>
  <si>
    <t>Las mujeres pagan el miedo con autonomía.</t>
  </si>
  <si>
    <t>A igual edad, estrato y victimización, ser mujer suma +18,0 pp de temor al acoso sexual, +6,5 pp de evitar salir de noche y +9,3 pp de sentir inseguro el barrio, aunque ellas reportan menos victimización (20,6 % frente a 28,4 %).</t>
  </si>
  <si>
    <t>DÓNDE INTERVENIR PRIMERO · TOP 5 DEL ÍNDICE DE BRECHA</t>
  </si>
  <si>
    <t>Puesto</t>
  </si>
  <si>
    <t>Localidad</t>
  </si>
  <si>
    <t>Índice de Brecha</t>
  </si>
  <si>
    <t>IC 90 %</t>
  </si>
  <si>
    <t>Top 5 en las réplicas bootstrap</t>
  </si>
  <si>
    <t>Bogotá DataJam 5 · equipo #16 The data squad. Cifras de outputs/resultados.json y outputs/tablas/; las celdas con fórmula se recalculan desde las otras hojas.</t>
  </si>
  <si>
    <t>Panel por localidad</t>
  </si>
  <si>
    <t>Una fila por localidad urbana (19). Percepción y entorno: % ponderado de adultos. Registro: tasas por 100.000 habitantes con población SDP 2025.</t>
  </si>
  <si>
    <t>Identificación</t>
  </si>
  <si>
    <t>Percepción · Bienal 2025</t>
  </si>
  <si>
    <t>Entorno · Bienal 2025</t>
  </si>
  <si>
    <t>Victimización y autoprotección · EMV 2024</t>
  </si>
  <si>
    <t>Registro · SCJ, enero-agosto 2025</t>
  </si>
  <si>
    <t>Contexto</t>
  </si>
  <si>
    <t>Código</t>
  </si>
  <si>
    <t>Población 2025 (hab.)</t>
  </si>
  <si>
    <t>Zona insegura (%)</t>
  </si>
  <si>
    <t>Ciudad insegura (%)</t>
  </si>
  <si>
    <t>Ciudad peor que antes (%)</t>
  </si>
  <si>
    <t>Miedo en el espacio público (%)</t>
  </si>
  <si>
    <t>Alumbrado malo (%)</t>
  </si>
  <si>
    <t>Drogas en el parque (%)</t>
  </si>
  <si>
    <t>Acoso en el parque (%)</t>
  </si>
  <si>
    <t>Presenció acoso a mujeres (%)</t>
  </si>
  <si>
    <t>Víctima de un delito, último año (%)</t>
  </si>
  <si>
    <t>Barrio inseguro (%)</t>
  </si>
  <si>
    <t>No sale de noche (%)</t>
  </si>
  <si>
    <t>Teme acoso sexual (%)</t>
  </si>
  <si>
    <t>Delitos de alto impacto (por 100.000 hab.)</t>
  </si>
  <si>
    <t>Hurtos (por 100.000 hab.)</t>
  </si>
  <si>
    <t>Homicidios (por 100.000 hab.)</t>
  </si>
  <si>
    <t>VIF y delitos sexuales (por 100.000 mujeres)</t>
  </si>
  <si>
    <t>Llamadas 123 por narcóticos (por 100.000 hab.)</t>
  </si>
  <si>
    <t>Llamadas 123 por riñas (por 100.000 hab.)</t>
  </si>
  <si>
    <t>Llamadas 123 por maltrato a mujer (por 100.000 hab.)</t>
  </si>
  <si>
    <t>Área (km²)</t>
  </si>
  <si>
    <t>Luminarias por km² (UAESP 2019)</t>
  </si>
  <si>
    <t>Espacio público efectivo (m²/hab.)</t>
  </si>
  <si>
    <t>Usaquén</t>
  </si>
  <si>
    <t>Chapinero</t>
  </si>
  <si>
    <t>Santa Fe</t>
  </si>
  <si>
    <t>San Cristóbal</t>
  </si>
  <si>
    <t>Usme</t>
  </si>
  <si>
    <t>Tunjuelito</t>
  </si>
  <si>
    <t>Bosa</t>
  </si>
  <si>
    <t>Kennedy</t>
  </si>
  <si>
    <t>Fontibón</t>
  </si>
  <si>
    <t>Engativá</t>
  </si>
  <si>
    <t>Suba</t>
  </si>
  <si>
    <t>Barrios Unidos</t>
  </si>
  <si>
    <t>Teusaquillo</t>
  </si>
  <si>
    <t>Los Mártires</t>
  </si>
  <si>
    <t>Antonio Nariño</t>
  </si>
  <si>
    <t>Puente Aranda</t>
  </si>
  <si>
    <t>La Candelaria</t>
  </si>
  <si>
    <t>Rafael Uribe Uribe</t>
  </si>
  <si>
    <t>Ciudad Bolívar</t>
  </si>
  <si>
    <t>Lectura: más intenso = valor más alto entre las 19 localidades (cada columna con su propia escala). Oro: lo que la gente percibe o vive (encuestas). Azul: lo que registran las autoridades. Las tasas de 2025 usan el corte enero-agosto que publica la SCJ, comparable entre años.</t>
  </si>
  <si>
    <t>Fuentes: Encuesta Bienal de Cultura Ciudadana 2025 (SCRD), Encuesta Mundial de Valores ola 8 2024 (Datos para la Transparencia), SCJ (delito de alto impacto y Línea 123), SDP (población), UAESP (alumbrado 2019), DADEP (espacio público), IDECA (área). Archivo: data/procesados/panel_localidad_2025.csv. Definiciones en la hoja Diccionario.</t>
  </si>
  <si>
    <t>Índice de Brecha de Seguridad</t>
  </si>
  <si>
    <t>Dónde hay más miedo del que explica el delito registrado. IBS = z(% zona insegura) − z(ln delitos de alto impacto por 100.000).</t>
  </si>
  <si>
    <t>Delitos de alto impacto (por 100.000)</t>
  </si>
  <si>
    <t>ln(delitos)</t>
  </si>
  <si>
    <t>z percepción</t>
  </si>
  <si>
    <t>z registro</t>
  </si>
  <si>
    <t>IBS</t>
  </si>
  <si>
    <t>IC 90 % inferior</t>
  </si>
  <si>
    <t>IC 90 % superior</t>
  </si>
  <si>
    <t>Puesto en IC 90 %</t>
  </si>
  <si>
    <t>Prob. de top 5</t>
  </si>
  <si>
    <t>Lectura</t>
  </si>
  <si>
    <t>Auxiliar del gráfico: error +</t>
  </si>
  <si>
    <t>Auxiliar del gráfico: error −</t>
  </si>
  <si>
    <t>1 a 2</t>
  </si>
  <si>
    <t>1 a 3</t>
  </si>
  <si>
    <t>2 a 5</t>
  </si>
  <si>
    <t>3 a 5</t>
  </si>
  <si>
    <t>3 a 6</t>
  </si>
  <si>
    <t>5 a 7</t>
  </si>
  <si>
    <t>6 a 8</t>
  </si>
  <si>
    <t>7 a 9</t>
  </si>
  <si>
    <t>9 a 13</t>
  </si>
  <si>
    <t>9 a 14</t>
  </si>
  <si>
    <t>9 a 15</t>
  </si>
  <si>
    <t>9 a 17</t>
  </si>
  <si>
    <t>11 a 16</t>
  </si>
  <si>
    <t>14 a 17</t>
  </si>
  <si>
    <t>16 a 18</t>
  </si>
  <si>
    <t>17 a 19</t>
  </si>
  <si>
    <t>Cómo se lee: IBS positivo (oro) = la localidad siente más inseguridad de la que predice su delito registrado; negativo (azul) = menos. Columnas E a J son fórmulas vivas sobre la hoja Panel_localidad (z con media y desviación estándar de las 19 localidades; ln porque la tasa es muy asimétrica: el centro concentra delito de población flotante). El intervalo de 90 %, el rango de puestos y la probabilidad de top 5 vienen de 1.000 réplicas bootstrap ponderadas dentro de cada localidad (outputs/tablas/ibs.csv). En rojo, las localidades que quedan en el top 5 en al menos el 90 % de las réplicas.</t>
  </si>
  <si>
    <t>IBS por localidad, con intervalo de 90 %</t>
  </si>
  <si>
    <t>Cifra oculta</t>
  </si>
  <si>
    <t>Víctimas estimadas (EMV 2024) por cada delito de alto impacto registrado por la SCJ en 2024. Personas frente a hechos: se lee como orden de magnitud.</t>
  </si>
  <si>
    <t>Víctimas, último año (% adultos)</t>
  </si>
  <si>
    <t>Error estándar</t>
  </si>
  <si>
    <t>Víctimas estimadas (adultos)</t>
  </si>
  <si>
    <t>IC 95 % inferior</t>
  </si>
  <si>
    <t>IC 95 % superior</t>
  </si>
  <si>
    <t>Delitos registrados 2024 (anualizados)</t>
  </si>
  <si>
    <t>Víctimas por delito registrado</t>
  </si>
  <si>
    <t>Puesto en cifra oculta</t>
  </si>
  <si>
    <t>Puesto en IBS</t>
  </si>
  <si>
    <t>Bogotá (19 localidades)</t>
  </si>
  <si>
    <t>ρ de Spearman entre IBS y cifra oculta (fórmula: correlación de los puestos de las columnas N y O)</t>
  </si>
  <si>
    <t>Víctimas estimadas = % de víctimas (EMV 2024, 96 encuestas por localidad) × adultos de la localidad (SDP 2024); IC 95 % con el error estándar de la encuesta. Delitos registrados = los 11 delitos de alto impacto de la SCJ en enero-agosto de 2024 llevados a 12 meses (× 12/8). La razón se recalcula con fórmulas (J = F / I). Fuente: outputs/tablas/cifra_oculta.csv.</t>
  </si>
  <si>
    <t>Víctimas por delito registrado, con IC 95 %</t>
  </si>
  <si>
    <t>Índice de Brecha frente a cifra oculta</t>
  </si>
  <si>
    <t>Eje horizontal: IBS. Eje vertical: víctimas por delito registrado.</t>
  </si>
  <si>
    <t>Validaciones territoriales (Spearman, n = 19, corrección de Benjamini-Hochberg)</t>
  </si>
  <si>
    <t>Prueba</t>
  </si>
  <si>
    <t>ρ</t>
  </si>
  <si>
    <t>p</t>
  </si>
  <si>
    <t>p ajustado (BH)</t>
  </si>
  <si>
    <t>n</t>
  </si>
  <si>
    <t>¿Sobrevive a BH?</t>
  </si>
  <si>
    <t>Drogas en el parque (Bienal) vs incidentes por narcóticos 123</t>
  </si>
  <si>
    <t>Zona insegura (Bienal) vs riñas 123</t>
  </si>
  <si>
    <t>Alumbrado malo (Bienal) vs luminarias por km² (UAESP 2019)</t>
  </si>
  <si>
    <t>Víctimas (EMV) vs delitos registrados (SCJ)</t>
  </si>
  <si>
    <t>Zona insegura (Bienal) vs delitos registrados (SCJ)</t>
  </si>
  <si>
    <t>Barrio inseguro (EMV) vs zona insegura (Bienal)</t>
  </si>
  <si>
    <t>Índice de Brecha vs cifra oculta (víctimas por delito registrado)</t>
  </si>
  <si>
    <t>Solo la relación entre el Índice de Brecha y la cifra oculta sobrevive a la corrección por pruebas múltiples. Fuente: outputs/tablas/validaciones.csv (IC por bootstrap de 2.000 réplicas).</t>
  </si>
  <si>
    <t>Qué explica sentir insegura la zona. Efectos marginales promedio en puntos porcentuales (pp) con IC 95 %.</t>
  </si>
  <si>
    <t>Nota metodológica. Logit ponderado con el factor de expansión de la Bienal 2025 (las estimaciones representan a 6.308.418 adultos urbanos; n = 5.538). Efecto marginal promedio (AME): cambio en la probabilidad, en pp, al pasar la variable de 0 a 1 (o por unidad indicada). IC 95 % por bootstrap de conglomerados que remuestrea las 19 localidades: con tan pocos conglomerados los errores analíticos agrupados son optimistas. En gris, los efectos cuyo IC cruza 0. El modelo principal usa solo hechos del entorno (no calificaciones) para evitar el sesgo de método común.</t>
  </si>
  <si>
    <t>1. Modelo principal: hechos del entorno</t>
  </si>
  <si>
    <t>Efecto marginal e IC 95 % (oro: IC excluye 0)</t>
  </si>
  <si>
    <t>Resultado: siente insegura o muy insegura su zona (Bienal 2025). Variables: perfil, delito registrado de la localidad y hechos del entorno.</t>
  </si>
  <si>
    <t>Variable</t>
  </si>
  <si>
    <t>Bloque</t>
  </si>
  <si>
    <t>Efecto marginal (pp)</t>
  </si>
  <si>
    <t>¿IC excluye 0?</t>
  </si>
  <si>
    <t>Ser mujer</t>
  </si>
  <si>
    <t>Perfil</t>
  </si>
  <si>
    <t>Edad (por año)</t>
  </si>
  <si>
    <t>Estrato (por nivel)</t>
  </si>
  <si>
    <t>Vive en arriendo</t>
  </si>
  <si>
    <t>Hurtos en la localidad (+1.000 por 100 mil)</t>
  </si>
  <si>
    <t>Delito registrado</t>
  </si>
  <si>
    <t>Homicidios en la localidad (+1 por 100 mil)</t>
  </si>
  <si>
    <t>Llamadas 123 por narcóticos (+100 por 100 mil)</t>
  </si>
  <si>
    <t>Atracos en el parque más cercano</t>
  </si>
  <si>
    <t>Hechos del entorno</t>
  </si>
  <si>
    <t>Venta o consumo de drogas en el parque</t>
  </si>
  <si>
    <t>No tiene parque cerca</t>
  </si>
  <si>
    <t>Presenció acoso a mujeres</t>
  </si>
  <si>
    <t>Conflictos vecinales (de ninguno a todos)</t>
  </si>
  <si>
    <t>2. Con calificaciones del entorno</t>
  </si>
  <si>
    <t>Agrega alumbrado malo y ventas informales. Comparten batería de preguntas con la seguridad de la zona (sesgo de método común): se reportan aparte, no como causa.</t>
  </si>
  <si>
    <t>Alumbrado público malo en su zona</t>
  </si>
  <si>
    <t>Calificación del entorno</t>
  </si>
  <si>
    <t>Ventas informales: situación mala</t>
  </si>
  <si>
    <t>3. Resultado alterno: la ciudad es insegura</t>
  </si>
  <si>
    <t>Mismas variables del modelo principal. La percepción de la ciudad casi no depende del entorno inmediato.</t>
  </si>
  <si>
    <t>4. Resultado alterno: miedo en el espacio público</t>
  </si>
  <si>
    <t>Mismas variables del modelo principal.</t>
  </si>
  <si>
    <t>5. Con efectos fijos de localidad</t>
  </si>
  <si>
    <t>Controla todo lo que es común a cada localidad (incluido su delito registrado). Se estiman 18 efectos fijos de localidad que no se muestran. Los hechos del entorno se mantienen.</t>
  </si>
  <si>
    <t>6. Modelo lineal con wild cluster bootstrap</t>
  </si>
  <si>
    <t>Modelo lineal de probabilidad con errores agrupados por localidad y p-valor por wild cluster bootstrap (pesos de Webb), robusto con pocos conglomerados.</t>
  </si>
  <si>
    <t>Coeficiente (pp)</t>
  </si>
  <si>
    <t>p agrupado</t>
  </si>
  <si>
    <t>p wild bootstrap</t>
  </si>
  <si>
    <t>¿p wild &lt; 0,05?</t>
  </si>
  <si>
    <t>7. Capacidad predictiva por bloques de variables</t>
  </si>
  <si>
    <t>AUC por bloque (eje desde 0,5 = azar)</t>
  </si>
  <si>
    <t>AUC fuera de muestra con validación cruzada estratificada repetida (25 pliegues). 0,5 = azar. Agregar el delito registrado casi no mejora la predicción; el entorno sí.</t>
  </si>
  <si>
    <t>Bloque de variables</t>
  </si>
  <si>
    <t>Composición (n.º de variables)</t>
  </si>
  <si>
    <t>AUC</t>
  </si>
  <si>
    <t>Desv. estándar</t>
  </si>
  <si>
    <t>Pliegues</t>
  </si>
  <si>
    <t>Perfil (sexo, edad, estrato, tenencia)</t>
  </si>
  <si>
    <t>Perfil (4)</t>
  </si>
  <si>
    <t>Perfil + delito registrado</t>
  </si>
  <si>
    <t>Perfil (4) + Delito registrado (3)</t>
  </si>
  <si>
    <t>Perfil + hechos del entorno</t>
  </si>
  <si>
    <t>Perfil (4) + Hechos del entorno (5)</t>
  </si>
  <si>
    <t>Perfil + hechos + delito</t>
  </si>
  <si>
    <t>Perfil (4) + Hechos del entorno (5) + Delito registrado (3)</t>
  </si>
  <si>
    <t>Perfil + calificación del entorno</t>
  </si>
  <si>
    <t>Perfil (4) + Calificación del entorno (2)</t>
  </si>
  <si>
    <t>Todo</t>
  </si>
  <si>
    <t>Perfil (4) + Delito registrado (3) + Hechos del entorno (5) + Calificación del entorno (2)</t>
  </si>
  <si>
    <t>Fuentes: outputs/tablas/m_hechos.csv, m_calif.csv, m_ciudad.csv, m_miedo.csv, m_efectos_fijos.csv, lpm_wild.csv y auc.csv (src/modelos.py). Las variables continuas se leen por la unidad indicada en su nombre (por ejemplo, +1.000 hurtos por 100 mil).</t>
  </si>
  <si>
    <t>Género</t>
  </si>
  <si>
    <t>A igual edad, estrato y victimización, las mujeres temen más y restringen más su vida (Encuesta Mundial de Valores 2024, Bogotá).</t>
  </si>
  <si>
    <t>1. Mujeres frente a hombres</t>
  </si>
  <si>
    <t>Porcentajes ponderados de adultos de Bogotá (n = 1.824). Efecto de ser mujer: logit ponderado con edad, estrato y haber sido víctima; IC 95 % por bootstrap de localidades.</t>
  </si>
  <si>
    <t>Indicador (EMV 2024)</t>
  </si>
  <si>
    <t>Mujeres</t>
  </si>
  <si>
    <t>Hombres</t>
  </si>
  <si>
    <t>Diferencia (pp)</t>
  </si>
  <si>
    <t>Efecto de ser mujer (pp)</t>
  </si>
  <si>
    <t>Fue víctima de un delito (último año)</t>
  </si>
  <si>
    <t>Control del modelo</t>
  </si>
  <si>
    <t>No sale de noche</t>
  </si>
  <si>
    <t>Teme acoso sexual</t>
  </si>
  <si>
    <t>Siente inseguro su barrio</t>
  </si>
  <si>
    <t>Haber sido víctima suma +19,5 pp a sentir inseguro el barrio (IC 95 % 12,8 a 25,0). Las mujeres reportan menos victimización y aun así temen más: el miedo no es solo experiencia de delito.</t>
  </si>
  <si>
    <t>Porcentaje de adultos por sexo</t>
  </si>
  <si>
    <t>Efecto de ser mujer, a igual victimización (pp)</t>
  </si>
  <si>
    <t>2. Zona insegura y miedo en el espacio público, por sexo y localidad (Bienal 2025)</t>
  </si>
  <si>
    <t>Porcentajes ponderados de adultos. Ordenado por la diferencia en zona insegura.</t>
  </si>
  <si>
    <t>Zona insegura: mujeres</t>
  </si>
  <si>
    <t>Zona insegura: hombres</t>
  </si>
  <si>
    <t>Miedo en espacio público: mujeres</t>
  </si>
  <si>
    <t>Miedo en espacio público: hombres</t>
  </si>
  <si>
    <t>3. Modelos completos (logit ponderado, EMV 2024)</t>
  </si>
  <si>
    <t>Efectos marginales promedio de cada variable sobre cada resultado.</t>
  </si>
  <si>
    <t>Resultado · variable</t>
  </si>
  <si>
    <t>Fuentes: outputs/resultados.json (porcentajes por sexo), outputs/tablas/emv_*.csv y data/procesados/panel_localidad_2025.csv.</t>
  </si>
  <si>
    <t>Serie de delitos registrados</t>
  </si>
  <si>
    <t>Bogotá, enero-agosto de cada año (corte comparable que publica la SCJ; 2026 solo trae ese periodo). Suma de las 20 localidades.</t>
  </si>
  <si>
    <t>1. Casos registrados (enero-agosto)</t>
  </si>
  <si>
    <t>Tipo de delito</t>
  </si>
  <si>
    <t>2018</t>
  </si>
  <si>
    <t>2019</t>
  </si>
  <si>
    <t>2020</t>
  </si>
  <si>
    <t>2021</t>
  </si>
  <si>
    <t>2022</t>
  </si>
  <si>
    <t>2023</t>
  </si>
  <si>
    <t>2024</t>
  </si>
  <si>
    <t>2025</t>
  </si>
  <si>
    <t>2026</t>
  </si>
  <si>
    <t>Cambio 2018 → 2026</t>
  </si>
  <si>
    <t>Cambio 2019 → 2026</t>
  </si>
  <si>
    <t>HP</t>
  </si>
  <si>
    <t>Hurto a personas</t>
  </si>
  <si>
    <t>HCE</t>
  </si>
  <si>
    <t>Hurto de celulares</t>
  </si>
  <si>
    <t>HC</t>
  </si>
  <si>
    <t>Hurto a comercio</t>
  </si>
  <si>
    <t>HR</t>
  </si>
  <si>
    <t>Hurto a residencias</t>
  </si>
  <si>
    <t>HA</t>
  </si>
  <si>
    <t>Hurto de automotores</t>
  </si>
  <si>
    <t>HM</t>
  </si>
  <si>
    <t>Hurto de motocicletas</t>
  </si>
  <si>
    <t>HB</t>
  </si>
  <si>
    <t>Hurto de bicicletas</t>
  </si>
  <si>
    <t>H</t>
  </si>
  <si>
    <t>Homicidios</t>
  </si>
  <si>
    <t>LP</t>
  </si>
  <si>
    <t>Lesiones personales</t>
  </si>
  <si>
    <t>VI</t>
  </si>
  <si>
    <t>Violencia intrafamiliar</t>
  </si>
  <si>
    <t>DS</t>
  </si>
  <si>
    <t>Delitos sexuales</t>
  </si>
  <si>
    <t>Lesiones personales no tiene dato publicado para 2026. Fuente: SCJ, Delito de alto impacto (data/procesados/scj_delitos_localidad_largo.csv). Azul: baja; vino: sube.</t>
  </si>
  <si>
    <t>2. Índice 2018 = 100: el hurto baja; la violencia intrafamiliar y los delitos sexuales suben</t>
  </si>
  <si>
    <t>3. Índice 2018 = 100 (fórmulas sobre la tabla 1)</t>
  </si>
  <si>
    <t>Cada celda = casos del año / casos de 2018 × 100. Más de 100: sube frente a 2018 (rosado); menos de 100: baja (azul).</t>
  </si>
  <si>
    <t>Simulador de escenarios</t>
  </si>
  <si>
    <t>¿Cuánto bajaría la inseguridad percibida si mejoran el alumbrado y los parques? Cambia las celdas crema: todo se recalcula.</t>
  </si>
  <si>
    <t>1. PALANCAS</t>
  </si>
  <si>
    <t>BOGOTÁ · PROBABILIDAD DE SENTIR INSEGURA LA ZONA</t>
  </si>
  <si>
    <t>Zonas donde el alumbrado deja de ser malo</t>
  </si>
  <si>
    <t>Hoy (modelo)</t>
  </si>
  <si>
    <t>Escenario</t>
  </si>
  <si>
    <t>Cambio</t>
  </si>
  <si>
    <t>Parques donde dejan de verse atracos</t>
  </si>
  <si>
    <t>→</t>
  </si>
  <si>
    <t>Grupo de población</t>
  </si>
  <si>
    <t>Total</t>
  </si>
  <si>
    <t>Adultos que dejarían de sentir insegura su zona (orden de magnitud, solo para el total)</t>
  </si>
  <si>
    <t>Celdas crema: editables. Coberturas de 0 % a 100 %; grupo: Total, Mujeres u Hombres (lista desplegable).</t>
  </si>
  <si>
    <t>Adultos urbanos representados por la Bienal 2025 (factor de expansión)</t>
  </si>
  <si>
    <t>2. RESULTADO POR LOCALIDAD · PROBABILIDAD DE SENTIR INSEGURA LA ZONA</t>
  </si>
  <si>
    <t>CAMBIO POR LOCALIDAD (pp), DE LA MAYOR BAJA A LA MENOR</t>
  </si>
  <si>
    <t>Cambio (pp)</t>
  </si>
  <si>
    <t>Observado (Bienal 2025)</t>
  </si>
  <si>
    <t>Clave de orden</t>
  </si>
  <si>
    <t>Auxiliar del gráfico: localidad</t>
  </si>
  <si>
    <t>Auxiliar: cambio (pp)</t>
  </si>
  <si>
    <t>Bogotá</t>
  </si>
  <si>
    <t>Es una sensibilidad del modelo, no un efecto causal.</t>
  </si>
  <si>
    <t>Escenario = (1 − f₁)(1 − f₂)·p00 + f₁(1 − f₂)·p10 + (1 − f₁)f₂·p01 + f₁f₂·p11, con f₁ = cobertura de alumbrado y f₂ = cobertura de parques sin atracos. p00 es la probabilidad media predicha hoy; p10, con el alumbrado resuelto para todos; p01, sin atracos en ningún parque; p11, con ambas palancas (hoja Datos_escenarios). Modelo: logit ponderado con perfil, delito registrado, hechos del entorno y alumbrado (Bienal 2025). Sirve para comparar territorios y priorizar; un piloto con línea base y grupo de comparación confirmaría el efecto.</t>
  </si>
  <si>
    <t>Cada indicador y variable del libro: definición, unidad, fuente y año.</t>
  </si>
  <si>
    <t>Tipo</t>
  </si>
  <si>
    <t>Nombre</t>
  </si>
  <si>
    <t>Definición</t>
  </si>
  <si>
    <t>Unidad</t>
  </si>
  <si>
    <t>Fuente</t>
  </si>
  <si>
    <t>Año / corte</t>
  </si>
  <si>
    <t>Dónde aparece</t>
  </si>
  <si>
    <t>Indicador</t>
  </si>
  <si>
    <t>poblacion</t>
  </si>
  <si>
    <t>Población</t>
  </si>
  <si>
    <t>Población total proyectada de la localidad (cabecera más rural).</t>
  </si>
  <si>
    <t>habitantes</t>
  </si>
  <si>
    <t>SDP, proyecciones de población 2005-2035</t>
  </si>
  <si>
    <t>zona_insegura</t>
  </si>
  <si>
    <t>Zona insegura</t>
  </si>
  <si>
    <t>Adultos que califican su zona como insegura o muy insegura (P66.8). Promedio ponderado con el factor de expansión. Resultado del modelo principal.</t>
  </si>
  <si>
    <t>% de adultos</t>
  </si>
  <si>
    <t>Encuesta Bienal de Cultura Ciudadana (SCRD)</t>
  </si>
  <si>
    <t>Panel_localidad, Indice_brecha, Modelos, Simulador</t>
  </si>
  <si>
    <t>ciudad_insegura</t>
  </si>
  <si>
    <t>Ciudad insegura</t>
  </si>
  <si>
    <t>Adultos que califican Bogotá como insegura o muy insegura (P74).</t>
  </si>
  <si>
    <t>Panel_localidad, Resumen, Modelos</t>
  </si>
  <si>
    <t>ciudad_peor_que_antes</t>
  </si>
  <si>
    <t>Ciudad peor que antes</t>
  </si>
  <si>
    <t>Adultos que consideran que la seguridad de la ciudad está peor que antes (P77).</t>
  </si>
  <si>
    <t>miedo_espacio_publico</t>
  </si>
  <si>
    <t>Miedo en el espacio público</t>
  </si>
  <si>
    <t>Adultos que reportan miedo en el espacio público (P63).</t>
  </si>
  <si>
    <t>Panel_localidad, Genero, Modelos</t>
  </si>
  <si>
    <t>alumbrado_malo</t>
  </si>
  <si>
    <t>Califica como malo o muy malo el alumbrado público de su zona (P66.1). Palanca 1 del simulador.</t>
  </si>
  <si>
    <t>% en el panel; 0/1 en los modelos</t>
  </si>
  <si>
    <t>Panel_localidad, Modelos, Simulador</t>
  </si>
  <si>
    <t>parque_spa</t>
  </si>
  <si>
    <t>Reporta venta o consumo de drogas en el parque más cercano (P72.10 o P72.11).</t>
  </si>
  <si>
    <t>Panel_localidad, Modelos</t>
  </si>
  <si>
    <t>parque_acoso</t>
  </si>
  <si>
    <t>Acoso en el parque</t>
  </si>
  <si>
    <t>Reporta acoso en el parque más cercano (P72.12).</t>
  </si>
  <si>
    <t>presencio_acoso</t>
  </si>
  <si>
    <t>Presenció acoso a mujeres (P11.1 o P11.4).</t>
  </si>
  <si>
    <t>emv_victima</t>
  </si>
  <si>
    <t>Víctima de un delito</t>
  </si>
  <si>
    <t>Adultos que fueron víctimas de un delito en el último año (Q144). En los modelos de la EMV es la variable de control «victima».</t>
  </si>
  <si>
    <t>Encuesta Mundial de Valores ola 8 (Datos para la Transparencia)</t>
  </si>
  <si>
    <t>Panel_localidad, Cifra_oculta, Genero</t>
  </si>
  <si>
    <t>emv_barrio_inseguro</t>
  </si>
  <si>
    <t>Barrio inseguro (EMV)</t>
  </si>
  <si>
    <t>Adultos que se sienten poco o nada seguros en su barrio (Q131, opciones 3 y 4).</t>
  </si>
  <si>
    <t>Panel_localidad, Genero</t>
  </si>
  <si>
    <t>emv_no_sale_noche</t>
  </si>
  <si>
    <t>Adultos que prefirieron no salir de noche por seguridad (Q140).</t>
  </si>
  <si>
    <t>emv_teme_acoso_sexual</t>
  </si>
  <si>
    <t>Adultos que temen mucho o bastante el acoso sexual (Q146_3, opciones 1 y 2).</t>
  </si>
  <si>
    <t>delitos_alto_impacto_100k</t>
  </si>
  <si>
    <t>Delitos de alto impacto</t>
  </si>
  <si>
    <t>Suma de 10 delitos registrados (homicidios, siete tipos de hurto, violencia intrafamiliar y delitos sexuales; sin lesiones personales) por 100.000 habitantes.</t>
  </si>
  <si>
    <t>por 100.000 hab.</t>
  </si>
  <si>
    <t>SCJ, Delito de alto impacto; SDP, población</t>
  </si>
  <si>
    <t>2025, enero-agosto</t>
  </si>
  <si>
    <t>Panel_localidad, Indice_brecha</t>
  </si>
  <si>
    <t>hurtos_100k</t>
  </si>
  <si>
    <t>Hurtos</t>
  </si>
  <si>
    <t>Hurto a personas, residencias, comercio, celulares, automotores, motocicletas y bicicletas por 100.000 habitantes.</t>
  </si>
  <si>
    <t>homicidios_100k</t>
  </si>
  <si>
    <t>Homicidios registrados por 100.000 habitantes.</t>
  </si>
  <si>
    <t>vif_ds_100k_mujeres</t>
  </si>
  <si>
    <t>VIF y delitos sexuales</t>
  </si>
  <si>
    <t>Violencia intrafamiliar más delitos sexuales por 100.000 mujeres.</t>
  </si>
  <si>
    <t>por 100.000 mujeres</t>
  </si>
  <si>
    <t>incidentes_narcoticos_100k</t>
  </si>
  <si>
    <t>Llamadas 123 por narcóticos</t>
  </si>
  <si>
    <t>Incidentes reportados a la Línea 123 por narcóticos por 100.000 habitantes.</t>
  </si>
  <si>
    <t>SCJ, Línea 123 (NUSE); SDP, población</t>
  </si>
  <si>
    <t>incidentes_rinas_100k</t>
  </si>
  <si>
    <t>Llamadas 123 por riñas</t>
  </si>
  <si>
    <t>Incidentes reportados a la Línea 123 por riñas por 100.000 habitantes.</t>
  </si>
  <si>
    <t>incidentes_maltrato_mujer_100k</t>
  </si>
  <si>
    <t>Llamadas 123 por maltrato a mujer</t>
  </si>
  <si>
    <t>Incidentes reportados a la Línea 123 por maltrato a mujer por 100.000 habitantes.</t>
  </si>
  <si>
    <t>area_km2</t>
  </si>
  <si>
    <t>Área</t>
  </si>
  <si>
    <t>Área de la localidad.</t>
  </si>
  <si>
    <t>km²</t>
  </si>
  <si>
    <t>UAECD · IDECA, Localidad Bogotá D.C.</t>
  </si>
  <si>
    <t>Vigente</t>
  </si>
  <si>
    <t>luminarias_km2_2019</t>
  </si>
  <si>
    <t>Luminarias por km²</t>
  </si>
  <si>
    <t>Luminarias de alumbrado público por km² de la localidad. Se usa solo como validación.</t>
  </si>
  <si>
    <t>luminarias por km²</t>
  </si>
  <si>
    <t>UAESP, alumbrado público por localidad</t>
  </si>
  <si>
    <t>2019, agosto (último publicado)</t>
  </si>
  <si>
    <t>Panel_localidad, Cifra_oculta</t>
  </si>
  <si>
    <t>ep_efectivo_m2_hab</t>
  </si>
  <si>
    <t>Espacio público efectivo</t>
  </si>
  <si>
    <t>Espacio público efectivo por habitante.</t>
  </si>
  <si>
    <t>m² por habitante</t>
  </si>
  <si>
    <t>DADEP, indicador de espacio público</t>
  </si>
  <si>
    <t>Último corte publicado</t>
  </si>
  <si>
    <t>Serie</t>
  </si>
  <si>
    <t>casos (Serie_delitos)</t>
  </si>
  <si>
    <t>Casos registrados</t>
  </si>
  <si>
    <t>Casos de cada delito de alto impacto en Bogotá, suma de las 20 localidades.</t>
  </si>
  <si>
    <t>casos</t>
  </si>
  <si>
    <t>SCJ, Delito de alto impacto</t>
  </si>
  <si>
    <t>2018-2026, enero-agosto</t>
  </si>
  <si>
    <t>Serie_delitos, Resumen</t>
  </si>
  <si>
    <t>indice_2018</t>
  </si>
  <si>
    <t>Índice 2018 = 100</t>
  </si>
  <si>
    <t>Casos del año / casos de 2018 × 100.</t>
  </si>
  <si>
    <t>índice</t>
  </si>
  <si>
    <t>Cálculo propio</t>
  </si>
  <si>
    <t>Variable de modelo</t>
  </si>
  <si>
    <t>mujer</t>
  </si>
  <si>
    <t>1 si la persona es mujer (Bienal D1; EMV CS1).</t>
  </si>
  <si>
    <t>0/1</t>
  </si>
  <si>
    <t>Encuesta Bienal de Cultura Ciudadana (SCRD); Encuesta Mundial de Valores ola 8 (Datos para la Transparencia)</t>
  </si>
  <si>
    <t>2025; 2024</t>
  </si>
  <si>
    <t>Modelos, Genero</t>
  </si>
  <si>
    <t>edad</t>
  </si>
  <si>
    <t>Edad en años; el efecto se lee por año adicional.</t>
  </si>
  <si>
    <t>años</t>
  </si>
  <si>
    <t>estrato</t>
  </si>
  <si>
    <t>Estrato socioeconómico de la vivienda, 1 a 6; el efecto se lee por nivel.</t>
  </si>
  <si>
    <t>nivel 1 a 6</t>
  </si>
  <si>
    <t>arrienda</t>
  </si>
  <si>
    <t>1 si vive en arriendo (V4).</t>
  </si>
  <si>
    <t>hurtos_100k_miles</t>
  </si>
  <si>
    <t>Hurtos por 100.000 hab. en la localidad de residencia, en miles: el efecto es por +1.000.</t>
  </si>
  <si>
    <t>miles por 100.000 hab.</t>
  </si>
  <si>
    <t>Homicidios por 100.000 hab. en la localidad de residencia: el efecto es por +1.</t>
  </si>
  <si>
    <t>narcoticos_100k_cientos</t>
  </si>
  <si>
    <t>Llamadas 123 por narcóticos por 100.000 hab. en la localidad, en cientos: el efecto es por +100.</t>
  </si>
  <si>
    <t>cientos por 100.000 hab.</t>
  </si>
  <si>
    <t>parque_atracos</t>
  </si>
  <si>
    <t>1 si reporta atracos en el parque más cercano (P72.13). Palanca 2 del simulador.</t>
  </si>
  <si>
    <t>sin_parque</t>
  </si>
  <si>
    <t>1 si no tiene un parque cerca (P67).</t>
  </si>
  <si>
    <t>conflictos_vecinos</t>
  </si>
  <si>
    <t>Proporción de las 6 situaciones de conflicto vecinal (P53) que ocurren en su barrio: de ninguna (0) a todas (1).</t>
  </si>
  <si>
    <t>proporción 0 a 1</t>
  </si>
  <si>
    <t>ventas_informales_malo</t>
  </si>
  <si>
    <t>1 si califica como mala la situación de ventas informales en su zona (P66.9).</t>
  </si>
  <si>
    <t>Medida derivada</t>
  </si>
  <si>
    <t>ibs</t>
  </si>
  <si>
    <t>Índice de Brecha de Seguridad (IBS)</t>
  </si>
  <si>
    <t>z(% zona insegura) − z(ln delitos de alto impacto por 100.000) entre las 19 localidades urbanas. Positivo: más miedo del que explica el delito registrado. Intervalo de 90 % por bootstrap ponderado dentro de cada localidad (1.000 réplicas).</t>
  </si>
  <si>
    <t>desviaciones estándar</t>
  </si>
  <si>
    <t>Cálculo propio (Bienal 2025 + SCJ 2025)</t>
  </si>
  <si>
    <t>Indice_brecha, Cifra_oculta, Resumen</t>
  </si>
  <si>
    <t>prob_top5</t>
  </si>
  <si>
    <t>Probabilidad de top 5</t>
  </si>
  <si>
    <t>Proporción de réplicas bootstrap en que la localidad queda entre las 5 de mayor IBS.</t>
  </si>
  <si>
    <t>% de réplicas</t>
  </si>
  <si>
    <t>Indice_brecha, Resumen</t>
  </si>
  <si>
    <t>razon</t>
  </si>
  <si>
    <t>Víctimas por delito registrado (cifra oculta)</t>
  </si>
  <si>
    <t>Víctimas estimadas (EMV 2024 × adultos SDP 2024) / delitos registrados por la SCJ en 2024 (11 tipos, enero-agosto × 12/8). Compara personas con hechos: es un orden de magnitud.</t>
  </si>
  <si>
    <t>víctimas por delito</t>
  </si>
  <si>
    <t>Cálculo propio (EMV + SCJ + SDP)</t>
  </si>
  <si>
    <t>Cifra_oculta, Resumen</t>
  </si>
  <si>
    <t>ame_pp</t>
  </si>
  <si>
    <t>Efecto marginal promedio (AME)</t>
  </si>
  <si>
    <t>Cambio promedio en la probabilidad del resultado al pasar la variable de 0 a 1 (o por la unidad indicada), con IC 95 % por bootstrap de conglomerados (localidades).</t>
  </si>
  <si>
    <t>puntos porcentuales (pp)</t>
  </si>
  <si>
    <t>2025 (Bienal); 2024 (EMV)</t>
  </si>
  <si>
    <t>Modelos, Genero, Resumen</t>
  </si>
  <si>
    <t>auc</t>
  </si>
  <si>
    <t>AUC fuera de muestra</t>
  </si>
  <si>
    <t>Área bajo la curva ROC en validación cruzada estratificada repetida (25 pliegues). 0,5 = azar; 1 = predicción perfecta.</t>
  </si>
  <si>
    <t>0 a 1</t>
  </si>
  <si>
    <t>Modelos, Resumen</t>
  </si>
  <si>
    <t>p_wild</t>
  </si>
  <si>
    <t>p wild cluster bootstrap</t>
  </si>
  <si>
    <t>p-valor del modelo lineal de probabilidad con wild cluster bootstrap (pesos de Webb), robusto con pocos conglomerados.</t>
  </si>
  <si>
    <t>rho / p_bh</t>
  </si>
  <si>
    <t>ρ de Spearman y p ajustado (BH)</t>
  </si>
  <si>
    <t>Correlación de rangos entre dos indicadores de las 19 localidades; p corregido por Benjamini-Hochberg sobre las 7 validaciones.</t>
  </si>
  <si>
    <t>-1 a 1; 0 a 1</t>
  </si>
  <si>
    <t>2024-2025</t>
  </si>
  <si>
    <t>p00, p10, p01, p11</t>
  </si>
  <si>
    <t>Escenarios del simulador</t>
  </si>
  <si>
    <t>Probabilidad media predicha de sentir insegura la zona hoy (p00), con alumbrado resuelto (p10), sin atracos en parques (p01) y con ambas (p11).</t>
  </si>
  <si>
    <t>Simulador, Datos_escenarios</t>
  </si>
  <si>
    <t>Conjuntos de datos oficiales usados. Cada uno se descarga desde su servicio con caché local y registro de URL, fecha y sha1 (src/fuentes.py).</t>
  </si>
  <si>
    <t>Entidad</t>
  </si>
  <si>
    <t>Conjunto de datos</t>
  </si>
  <si>
    <t>Uso en el proyecto</t>
  </si>
  <si>
    <t>Portal (enlace)</t>
  </si>
  <si>
    <t>Descarga directa</t>
  </si>
  <si>
    <t>Archivo local (data/crudos/)</t>
  </si>
  <si>
    <t>Secretaría Distrital de Seguridad, Convivencia y Justicia (SCJ)</t>
  </si>
  <si>
    <t>Delito de Alto Impacto. Bogotá D.C.</t>
  </si>
  <si>
    <t>11 delitos por localidad, enero-agosto 2018-2026</t>
  </si>
  <si>
    <t>https://datosabiertos.bogota.gov.co/dataset/delito-de-alto-impacto-bogota-d-c</t>
  </si>
  <si>
    <t>Abrir</t>
  </si>
  <si>
    <t>scj_delitos_alto_impacto_localidad.csv</t>
  </si>
  <si>
    <t>SCJ (Línea 123, NUSE)</t>
  </si>
  <si>
    <t>Incidentes Reportados por localidad</t>
  </si>
  <si>
    <t>Llamadas 123 por narcóticos, riñas y maltrato a mujer, por localidad</t>
  </si>
  <si>
    <t>https://oaiee.scj.gov.co/agc/rest/services/Tematicos_Pub/CifrasSCJ/MapServer/2</t>
  </si>
  <si>
    <t>scj_incidentes_123_localidad.csv</t>
  </si>
  <si>
    <t>Incidentes Reportados por UPZ</t>
  </si>
  <si>
    <t>Llamadas 123 por UPZ (mapas del visor)</t>
  </si>
  <si>
    <t>https://oaiee.scj.gov.co/agc/rest/services/Tematicos_Pub/CifrasSCJ/MapServer/3</t>
  </si>
  <si>
    <t>scj_incidentes_123_upz.geojson</t>
  </si>
  <si>
    <t>Secretaría de Cultura, Recreación y Deporte · Observatorio de Culturas</t>
  </si>
  <si>
    <t>Encuesta Bienal de Cultura Ciudadana 2025 (módulo cultura ciudadana)</t>
  </si>
  <si>
    <t>Microdatos: percepción y entorno (5.538 adultos)</t>
  </si>
  <si>
    <t>https://observatoriocultura.github.io/observatorio/#/ebc/encuesta-cultura-ciudadana-2025</t>
  </si>
  <si>
    <t>ebcc_2025_cultura_ciudadana.xlsx</t>
  </si>
  <si>
    <t>Alcaldía de Bogotá · Datos para la Transparencia (EMV Colombia, ola 8)</t>
  </si>
  <si>
    <t>Encuesta Mundial de Valores ola 8, 2024</t>
  </si>
  <si>
    <t>Microdatos: victimización y género (1.824 encuestas en Bogotá)</t>
  </si>
  <si>
    <t>https://gobiernoabiertobogota.gov.co/transparencia</t>
  </si>
  <si>
    <t>emv_ola8_2024.xlsx</t>
  </si>
  <si>
    <t>Secretaría Distrital de Planeación (SDP)</t>
  </si>
  <si>
    <t>Proyecciones y retroproyecciones de población por localidad 2005-2035</t>
  </si>
  <si>
    <t>Denominadores por localidad, sexo y edad</t>
  </si>
  <si>
    <t>https://datosabiertos.bogota.gov.co/dataset/proyecciones-y-retroproyecciones-de-poblacion-2005-2035</t>
  </si>
  <si>
    <t>sdp_poblacion_localidad_2005_2035.ods</t>
  </si>
  <si>
    <t>Proyecciones y retroproyecciones de población por UPZ 2005-2035</t>
  </si>
  <si>
    <t>Denominadores por UPZ</t>
  </si>
  <si>
    <t>sdp_poblacion_upz_2005_2035.ods</t>
  </si>
  <si>
    <t>UAECD · IDECA</t>
  </si>
  <si>
    <t>Localidad. Bogotá D.C.</t>
  </si>
  <si>
    <t>Límites y área de las localidades</t>
  </si>
  <si>
    <t>https://datosabiertos.bogota.gov.co/dataset/localidad-bogota-d-c</t>
  </si>
  <si>
    <t>ideca_localidades.geojson</t>
  </si>
  <si>
    <t>Unidad Administrativa Especial de Servicios Públicos (UAESP)</t>
  </si>
  <si>
    <t>Alumbrado público: luminarias por localidad y tecnología (corte agosto 2019, el último publicado)</t>
  </si>
  <si>
    <t>Validación del alumbrado (último corte: agosto de 2019)</t>
  </si>
  <si>
    <t>https://datosabiertos.bogota.gov.co/dataset/alumbrado_publico_lt</t>
  </si>
  <si>
    <t>uaesp_alumbrado_2019_08.csv</t>
  </si>
  <si>
    <t>Departamento Administrativo de la Defensoría del Espacio Público (DADEP)</t>
  </si>
  <si>
    <t>Indicador de espacio público efectivo por localidad</t>
  </si>
  <si>
    <t>Contexto: espacio público efectivo</t>
  </si>
  <si>
    <t>https://datosabiertos.bogota.gov.co/dataset/indicador-espacio-publico-localidad-bogota-d-c</t>
  </si>
  <si>
    <t>dadep_ep_efectivo_localidad.csv</t>
  </si>
  <si>
    <t>La localidad de cada encuesta de la EMV no viene en el archivo publicado: se recuperó del tablero oficial de Datos para la Transparencia (data/crudos/emv_localidad_por_registro.csv) y se verificó con la ficha técnica (96 encuestas por localidad). Los datos son de las entidades citadas y se usan bajo sus condiciones de datos abiertos.</t>
  </si>
  <si>
    <t>Bitácora de limpieza</t>
  </si>
  <si>
    <t>Cada paso de lectura, formato, llave territorial, recodificación e integración, tal como lo registró el pipeline (src/limpieza.py).</t>
  </si>
  <si>
    <t>N.º</t>
  </si>
  <si>
    <t>Paso</t>
  </si>
  <si>
    <t>Detalle</t>
  </si>
  <si>
    <t>SCJ delitos</t>
  </si>
  <si>
    <t>lectura</t>
  </si>
  <si>
    <t>21 filas (localidades + totales); corte 'Ene-Ago (2025vs2026)' para todos los años</t>
  </si>
  <si>
    <t>formato</t>
  </si>
  <si>
    <t>117 columnas año×tipo pasadas a formato largo; 399 celdas vacías descartadas</t>
  </si>
  <si>
    <t>llave</t>
  </si>
  <si>
    <t>códigos de localidad 01-20 normalizados a entero; descartados no territoriales: [99]</t>
  </si>
  <si>
    <t>cobertura</t>
  </si>
  <si>
    <t>tipos sin dato 2026: ['LP']</t>
  </si>
  <si>
    <t>SCJ incidentes 123</t>
  </si>
  <si>
    <t>21 filas; corte 'Ene-Ago (2025vs2026)'</t>
  </si>
  <si>
    <t>81 columnas año×tipo pasadas a formato largo; 0 celdas vacías descartadas</t>
  </si>
  <si>
    <t>SDP población</t>
  </si>
  <si>
    <t>837 filas (unidad × año × área); 202 columnas sexo×edad simple</t>
  </si>
  <si>
    <t>control</t>
  </si>
  <si>
    <t>Bogotá 2025 = 7,937,898 habitantes (suma de localidades, cabecera + rural)</t>
  </si>
  <si>
    <t>SDP población UPZ</t>
  </si>
  <si>
    <t>3472 filas (unidad × año × área); 36 columnas sexo×edad simple</t>
  </si>
  <si>
    <t>Bienal 2025</t>
  </si>
  <si>
    <t>hoja 'datos': 5860 personas × 537 variables</t>
  </si>
  <si>
    <t>universo</t>
  </si>
  <si>
    <t>se conservan adultos (18+): 5639 de 5860; el modelo usa las 19 localidades urbanas</t>
  </si>
  <si>
    <t>recodificación</t>
  </si>
  <si>
    <t>escalas 1-4/1-5 → 1 si 'malo/muy malo' o 'insegura/muy insegura'; 'no sabe' queda vacío</t>
  </si>
  <si>
    <t>peso</t>
  </si>
  <si>
    <t>factor de expansión FACTOR: suma 6,308,418 adultos urbanos representados</t>
  </si>
  <si>
    <t>EMV 2024</t>
  </si>
  <si>
    <t>3624 encuestas nacionales; 1824 en Bogotá</t>
  </si>
  <si>
    <t>localidad recuperada del tablero oficial (cruce por id de registro); sin localidad: 0</t>
  </si>
  <si>
    <t>UAESP alumbrado</t>
  </si>
  <si>
    <t>vigencia</t>
  </si>
  <si>
    <t>último corte publicado en el portal: agosto de 2019, agregado por localidad</t>
  </si>
  <si>
    <t>SCJ incidentes UPZ</t>
  </si>
  <si>
    <t>geometría</t>
  </si>
  <si>
    <t>117 UPZ con polígono simplificado (~20 m) en WGS84</t>
  </si>
  <si>
    <t>Integración</t>
  </si>
  <si>
    <t>cruce</t>
  </si>
  <si>
    <t>5538 personas de la Bienal con el delito e incidentes 123 de su localidad (SCJ 2025)</t>
  </si>
  <si>
    <t>UPZ</t>
  </si>
  <si>
    <t>incidentes 123 por UPZ con población SDP; 3 UPZ sin población (rurales o nuevas) excluidas</t>
  </si>
  <si>
    <t>Fuente: outputs/tablas/bitacora_limpieza.csv.</t>
  </si>
  <si>
    <t>Datos del simulador</t>
  </si>
  <si>
    <t>Probabilidad media predicha de sentir insegura la zona (logit ponderado, Bienal 2025), por grupo y localidad. Código 0 = Bogotá. Alimenta la hoja Simulador.</t>
  </si>
  <si>
    <t>Grupo</t>
  </si>
  <si>
    <t>Hoy (p00)</t>
  </si>
  <si>
    <t>Alumbrado resuelto (p10)</t>
  </si>
  <si>
    <t>Parques sin atracos (p01)</t>
  </si>
  <si>
    <t>Ambas palancas (p11)</t>
  </si>
  <si>
    <t>Fuente: outputs/tablas/escenarios.csv (modelo con perfil, delito registrado, hechos del entorno y alumbrado malo). p10 = alumbrado deja de ser malo para todos; p01 = nadie ve atracos en su parque; p11 = ambas. Valores fijos: no editar.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</si>
</sst>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0;&quot;−&quot;0.00;0.00"/>
    <numFmt numFmtId="167" formatCode="0.0&quot; pp&quot;"/>
    <numFmt numFmtId="168" formatCode="&quot;ρ = &quot;0.00"/>
    <numFmt numFmtId="169" formatCode="0.000"/>
    <numFmt numFmtId="170" formatCode="\+0.00&quot; pp&quot;;&quot;−&quot;0.00&quot; pp&quot;;0.00&quot; pp&quot;"/>
    <numFmt numFmtId="171" formatCode="\+0.0&quot; pp&quot;;&quot;−&quot;0.0&quot; pp&quot;;0.0&quot; pp&quot;"/>
    <numFmt numFmtId="172" formatCode="\+0.0%;&quot;−&quot;0.0%;0.0%"/>
    <numFmt numFmtId="173" formatCode="0.0"/>
    <numFmt numFmtId="174" formatCode="\+0.0;&quot;−&quot;0.0;0.0"/>
    <numFmt numFmtId="175" formatCode="\+0.000;&quot;−&quot;0.000"/>
    <numFmt numFmtId="176" formatCode="&quot;a  &quot;\+0.00;&quot;a  −&quot;0.00"/>
  </numFmts>
  <fonts count="49" x14ac:knownFonts="1">
    <font>
      <sz val="11"/>
      <color theme="1"/>
      <name val="Calibri"/>
      <family val="2"/>
      <scheme val="minor"/>
    </font>
    <font>
      <b/>
      <sz val="8"/>
      <color rgb="FFAB0F24"/>
      <name val="Segoe UI"/>
    </font>
    <font>
      <b/>
      <sz val="18"/>
      <color rgb="FFBF0A00"/>
      <name val="Segoe UI"/>
    </font>
    <font>
      <sz val="10"/>
      <color rgb="FF4B4B4B"/>
      <name val="Segoe UI"/>
    </font>
    <font>
      <u/>
      <sz val="8"/>
      <color rgb="FF3366CC"/>
      <name val="Segoe UI"/>
    </font>
    <font>
      <b/>
      <sz val="9"/>
      <color rgb="FFFFFFFF"/>
      <name val="Segoe UI"/>
    </font>
    <font>
      <b/>
      <sz val="9.5"/>
      <color rgb="FF1E1E1E"/>
      <name val="Segoe UI"/>
    </font>
    <font>
      <sz val="9.5"/>
      <color rgb="FF1E1E1E"/>
      <name val="Segoe UI"/>
    </font>
    <font>
      <i/>
      <sz val="8.5"/>
      <color rgb="FF4B4B4B"/>
      <name val="Segoe UI"/>
    </font>
    <font>
      <b/>
      <sz val="8.5"/>
      <color rgb="FF1E1E1E"/>
      <name val="Segoe UI"/>
    </font>
    <font>
      <sz val="8"/>
      <color rgb="FFA6A6A6"/>
      <name val="Segoe UI"/>
    </font>
    <font>
      <sz val="7.5"/>
      <color rgb="FFA6A6A6"/>
      <name val="Segoe UI"/>
    </font>
    <font>
      <b/>
      <sz val="11.5"/>
      <color rgb="FF1E1E1E"/>
      <name val="Segoe UI"/>
    </font>
    <font>
      <b/>
      <sz val="12"/>
      <color rgb="FFBF0A00"/>
      <name val="Segoe UI"/>
    </font>
    <font>
      <i/>
      <sz val="8"/>
      <color rgb="FF4B4B4B"/>
      <name val="Segoe UI"/>
    </font>
    <font>
      <sz val="9"/>
      <color rgb="FF1E1E1E"/>
      <name val="Segoe UI"/>
    </font>
    <font>
      <sz val="9"/>
      <color rgb="FF4B4B4B"/>
      <name val="Segoe UI"/>
    </font>
    <font>
      <sz val="8.5"/>
      <color rgb="FF4B4B4B"/>
      <name val="Segoe UI"/>
    </font>
    <font>
      <b/>
      <sz val="9.5"/>
      <color rgb="FF8E44C8"/>
      <name val="Segoe UI"/>
    </font>
    <font>
      <b/>
      <sz val="9.5"/>
      <color rgb="FF2A9D4B"/>
      <name val="Segoe UI"/>
    </font>
    <font>
      <sz val="9.5"/>
      <color rgb="FF8E44C8"/>
      <name val="Segoe UI"/>
    </font>
    <font>
      <sz val="9.5"/>
      <color rgb="FF2A9D4B"/>
      <name val="Segoe UI"/>
    </font>
    <font>
      <b/>
      <sz val="9.5"/>
      <color rgb="FFAB0F24"/>
      <name val="Segoe UI"/>
    </font>
    <font>
      <b/>
      <sz val="8.5"/>
      <color rgb="FF4B4B4B"/>
      <name val="Segoe UI"/>
    </font>
    <font>
      <sz val="10"/>
      <color rgb="FF1E1E1E"/>
      <name val="Segoe UI"/>
    </font>
    <font>
      <b/>
      <sz val="12"/>
      <color rgb="FF3366CC"/>
      <name val="Segoe UI"/>
    </font>
    <font>
      <b/>
      <sz val="9.5"/>
      <color rgb="FFBF0A00"/>
      <name val="Segoe UI"/>
    </font>
    <font>
      <b/>
      <sz val="22"/>
      <color rgb="FF1E1E1E"/>
      <name val="Segoe UI"/>
    </font>
    <font>
      <b/>
      <sz val="22"/>
      <color rgb="FFBF0A00"/>
      <name val="Segoe UI"/>
    </font>
    <font>
      <sz val="18"/>
      <color rgb="FF4B4B4B"/>
      <name val="Segoe UI"/>
    </font>
    <font>
      <b/>
      <sz val="11"/>
      <color rgb="FF1E1E1E"/>
      <name val="Segoe UI"/>
    </font>
    <font>
      <sz val="8"/>
      <color rgb="FF4B4B4B"/>
      <name val="Segoe UI"/>
    </font>
    <font>
      <b/>
      <sz val="10"/>
      <color rgb="FFAB0F24"/>
      <name val="Segoe UI"/>
    </font>
    <font>
      <u/>
      <sz val="9"/>
      <color rgb="FF3366CC"/>
      <name val="Segoe UI"/>
    </font>
    <font>
      <u/>
      <sz val="9.5"/>
      <color rgb="FF3366CC"/>
      <name val="Segoe UI"/>
    </font>
    <font>
      <b/>
      <sz val="7.5"/>
      <color rgb="FF4B4B4B"/>
      <name val="Segoe UI"/>
    </font>
    <font>
      <b/>
      <sz val="24"/>
      <color rgb="FF1E1E1E"/>
      <name val="Segoe UI"/>
    </font>
    <font>
      <sz val="8.5"/>
      <color rgb="FF1E1E1E"/>
      <name val="Segoe UI"/>
    </font>
    <font>
      <i/>
      <sz val="7"/>
      <color rgb="FF4B4B4B"/>
      <name val="Segoe UI"/>
    </font>
    <font>
      <b/>
      <sz val="24"/>
      <color rgb="FFBF0A00"/>
      <name val="Segoe UI"/>
    </font>
    <font>
      <sz val="9.5"/>
      <color rgb="FF4B4B4B"/>
      <name val="Segoe UI"/>
    </font>
    <font>
      <b/>
      <sz val="10"/>
      <color rgb="FF1E1E1E"/>
      <name val="Segoe UI"/>
    </font>
    <font>
      <b/>
      <sz val="9"/>
      <color rgb="FFAB0F24"/>
      <name val="Segoe UI"/>
    </font>
    <font>
      <b/>
      <sz val="34"/>
      <color rgb="FFBF0A00"/>
      <name val="Segoe UI"/>
    </font>
    <font>
      <sz val="14"/>
      <color rgb="FF4B4B4B"/>
      <name val="Segoe UI"/>
    </font>
    <font>
      <b/>
      <sz val="13"/>
      <color rgb="FF1E1E1E"/>
      <name val="Segoe UI"/>
    </font>
    <font>
      <sz val="10.5"/>
      <color rgb="FF1E1E1E"/>
      <name val="Segoe UI"/>
    </font>
    <font>
      <sz val="8.5"/>
      <color rgb="FFA6A6A6"/>
      <name val="Segoe UI"/>
    </font>
    <font>
      <b/>
      <u/>
      <sz val="10"/>
      <color rgb="FF3366CC"/>
      <name val="Segoe UI"/>
    </font>
  </fonts>
  <fills count="11">
    <fill>
      <patternFill patternType="none"/>
    </fill>
    <fill>
      <patternFill patternType="gray125"/>
    </fill>
    <fill>
      <patternFill patternType="solid">
        <fgColor rgb="FFBF0A00"/>
      </patternFill>
    </fill>
    <fill>
      <patternFill patternType="solid">
        <fgColor rgb="FFAB0F24"/>
      </patternFill>
    </fill>
    <fill>
      <patternFill patternType="solid">
        <fgColor rgb="FFF6F6F6"/>
      </patternFill>
    </fill>
    <fill>
      <patternFill patternType="solid">
        <fgColor rgb="FFFFF5DB"/>
      </patternFill>
    </fill>
    <fill>
      <patternFill patternType="solid">
        <fgColor rgb="FFDDE7F8"/>
      </patternFill>
    </fill>
    <fill>
      <patternFill patternType="solid">
        <fgColor rgb="FFD99A16"/>
      </patternFill>
    </fill>
    <fill>
      <patternFill patternType="solid">
        <fgColor rgb="FF3366CC"/>
      </patternFill>
    </fill>
    <fill>
      <patternFill patternType="solid">
        <fgColor rgb="FF8E44C8"/>
      </patternFill>
    </fill>
    <fill>
      <patternFill patternType="solid">
        <fgColor rgb="FFA6A6A6"/>
      </patternFill>
    </fill>
  </fills>
  <borders count="14">
    <border>
      <left/>
      <right/>
      <top/>
      <bottom/>
      <diagonal/>
    </border>
    <border>
      <left/>
      <right/>
      <top/>
      <bottom style="thin">
        <color rgb="FFE3E3E3"/>
      </bottom>
      <diagonal/>
    </border>
    <border>
      <left/>
      <right/>
      <top/>
      <bottom style="medium">
        <color rgb="FF4B4B4B"/>
      </bottom>
      <diagonal/>
    </border>
    <border>
      <left/>
      <right/>
      <top/>
      <bottom style="medium">
        <color rgb="FFD99A16"/>
      </bottom>
      <diagonal/>
    </border>
    <border>
      <left/>
      <right/>
      <top/>
      <bottom style="medium">
        <color rgb="FF3366CC"/>
      </bottom>
      <diagonal/>
    </border>
    <border>
      <left/>
      <right/>
      <top style="thin">
        <color rgb="FF4B4B4B"/>
      </top>
      <bottom style="thin">
        <color rgb="FFE3E3E3"/>
      </bottom>
      <diagonal/>
    </border>
    <border>
      <left/>
      <right/>
      <top/>
      <bottom style="medium">
        <color rgb="FFBF0A00"/>
      </bottom>
      <diagonal/>
    </border>
    <border>
      <left/>
      <right/>
      <top/>
      <bottom style="thin">
        <color rgb="FFE3E3E3"/>
      </bottom>
      <diagonal/>
    </border>
    <border>
      <left style="thin">
        <color rgb="FFF0BF4F"/>
      </left>
      <right style="thin">
        <color rgb="FFF0BF4F"/>
      </right>
      <top style="thin">
        <color rgb="FFF0BF4F"/>
      </top>
      <bottom style="thin">
        <color rgb="FFF0BF4F"/>
      </bottom>
      <diagonal/>
    </border>
    <border>
      <left/>
      <right/>
      <top style="thick">
        <color rgb="FF3366CC"/>
      </top>
      <bottom/>
      <diagonal/>
    </border>
    <border>
      <left/>
      <right/>
      <top style="thick">
        <color rgb="FFD99A16"/>
      </top>
      <bottom/>
      <diagonal/>
    </border>
    <border>
      <left/>
      <right/>
      <top style="thick">
        <color rgb="FFAB0F24"/>
      </top>
      <bottom/>
      <diagonal/>
    </border>
    <border>
      <left/>
      <right/>
      <top style="thick">
        <color rgb="FF8E44C8"/>
      </top>
      <bottom/>
      <diagonal/>
    </border>
    <border>
      <left/>
      <right/>
      <top style="thick">
        <color rgb="FFBF0A00"/>
      </top>
      <bottom/>
      <diagonal/>
    </border>
  </borders>
  <cellStyleXfs count="1">
    <xf numFmtId="0" fontId="0" fillId="0" borderId="0"/>
  </cellStyleXfs>
  <cellXfs count="149">
    <xf numFmtId="0" fontId="0" fillId="0" borderId="0" xfId="0"/>
    <xf numFmtId="0" fontId="42" fillId="0" borderId="0" xfId="0" applyFont="1"/>
    <xf numFmtId="0" fontId="0" fillId="2" borderId="0" xfId="0" applyFill="1"/>
    <xf numFmtId="0" fontId="23" fillId="0" borderId="0" xfId="0" applyFont="1"/>
    <xf numFmtId="0" fontId="22" fillId="0" borderId="0" xfId="0" applyFont="1" applyAlignment="1">
      <alignment horizontal="right" vertical="top" indent="1"/>
    </xf>
    <xf numFmtId="0" fontId="47" fillId="0" borderId="1" xfId="0" applyFont="1" applyBorder="1" applyAlignment="1">
      <alignment horizontal="right" vertical="center"/>
    </xf>
    <xf numFmtId="0" fontId="48" fillId="0" borderId="1" xfId="0" applyFont="1" applyBorder="1" applyAlignment="1">
      <alignment vertical="center" indent="1"/>
    </xf>
    <xf numFmtId="0" fontId="40" fillId="0" borderId="1" xfId="0" applyFont="1" applyBorder="1" applyAlignment="1">
      <alignment vertical="center" indent="1"/>
    </xf>
    <xf numFmtId="0" fontId="0" fillId="0" borderId="1" xfId="0" applyBorder="1"/>
    <xf numFmtId="0" fontId="24" fillId="7" borderId="0" xfId="0" applyFont="1" applyFill="1" applyAlignment="1">
      <alignment vertical="center"/>
    </xf>
    <xf numFmtId="0" fontId="24" fillId="8" borderId="0" xfId="0" applyFont="1" applyFill="1" applyAlignment="1">
      <alignment vertical="center"/>
    </xf>
    <xf numFmtId="0" fontId="24" fillId="9" borderId="0" xfId="0" applyFont="1" applyFill="1" applyAlignment="1">
      <alignment vertical="center"/>
    </xf>
    <xf numFmtId="0" fontId="24" fillId="5" borderId="0" xfId="0" applyFont="1" applyFill="1" applyAlignment="1">
      <alignment vertical="center"/>
    </xf>
    <xf numFmtId="0" fontId="24" fillId="10" borderId="0" xfId="0" applyFont="1" applyFill="1" applyAlignment="1">
      <alignment vertical="center"/>
    </xf>
    <xf numFmtId="0" fontId="4" fillId="0" borderId="0" xfId="0" applyFont="1" applyAlignment="1">
      <alignment horizontal="right"/>
    </xf>
    <xf numFmtId="0" fontId="2" fillId="0" borderId="0" xfId="0" applyFont="1" applyAlignment="1">
      <alignment vertical="center"/>
    </xf>
    <xf numFmtId="0" fontId="3" fillId="0" borderId="0" xfId="0" applyFont="1" applyAlignment="1">
      <alignment vertical="top"/>
    </xf>
    <xf numFmtId="0" fontId="0" fillId="4" borderId="0" xfId="0" applyFill="1"/>
    <xf numFmtId="0" fontId="5" fillId="3" borderId="0" xfId="0" applyFont="1" applyFill="1" applyAlignment="1">
      <alignment horizontal="center" vertical="center"/>
    </xf>
    <xf numFmtId="1" fontId="24" fillId="0" borderId="1" xfId="0" applyNumberFormat="1" applyFont="1" applyBorder="1" applyAlignment="1">
      <alignment horizontal="center" vertical="center"/>
    </xf>
    <xf numFmtId="0" fontId="5" fillId="3" borderId="0" xfId="0" applyFont="1" applyFill="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indent="1"/>
    </xf>
    <xf numFmtId="3" fontId="7" fillId="0" borderId="1" xfId="0" applyNumberFormat="1" applyFont="1" applyBorder="1" applyAlignment="1">
      <alignment horizontal="right" vertical="center" indent="1"/>
    </xf>
    <xf numFmtId="164" fontId="7" fillId="0" borderId="1" xfId="0" applyNumberFormat="1" applyFont="1" applyBorder="1" applyAlignment="1">
      <alignment horizontal="right" vertical="center" indent="1"/>
    </xf>
    <xf numFmtId="165" fontId="7" fillId="0" borderId="1" xfId="0" applyNumberFormat="1" applyFont="1" applyBorder="1" applyAlignment="1">
      <alignment horizontal="right" vertical="center" indent="1"/>
    </xf>
    <xf numFmtId="0" fontId="11" fillId="0" borderId="0" xfId="0" applyFont="1" applyAlignment="1">
      <alignment horizontal="center" vertical="center" wrapText="1"/>
    </xf>
    <xf numFmtId="2" fontId="7" fillId="0" borderId="1" xfId="0" applyNumberFormat="1" applyFont="1" applyBorder="1" applyAlignment="1">
      <alignment horizontal="right" vertical="center" indent="1"/>
    </xf>
    <xf numFmtId="166" fontId="7" fillId="0" borderId="1" xfId="0" applyNumberFormat="1" applyFont="1" applyBorder="1" applyAlignment="1">
      <alignment horizontal="right" vertical="center" indent="1"/>
    </xf>
    <xf numFmtId="166" fontId="6" fillId="0" borderId="1" xfId="0" applyNumberFormat="1" applyFont="1" applyBorder="1" applyAlignment="1">
      <alignment horizontal="right" vertical="center" indent="1"/>
    </xf>
    <xf numFmtId="2" fontId="10" fillId="0" borderId="0" xfId="0" applyNumberFormat="1" applyFont="1" applyAlignment="1">
      <alignment vertical="center"/>
    </xf>
    <xf numFmtId="0" fontId="12" fillId="0" borderId="0" xfId="0" applyFont="1"/>
    <xf numFmtId="167" fontId="7" fillId="0" borderId="1" xfId="0" applyNumberFormat="1" applyFont="1" applyBorder="1" applyAlignment="1">
      <alignment horizontal="right" vertical="center" indent="1"/>
    </xf>
    <xf numFmtId="165" fontId="6" fillId="0" borderId="1" xfId="0" applyNumberFormat="1" applyFont="1" applyBorder="1" applyAlignment="1">
      <alignment horizontal="right" vertical="center" indent="1"/>
    </xf>
    <xf numFmtId="0" fontId="6" fillId="4" borderId="5" xfId="0" applyFont="1" applyFill="1" applyBorder="1" applyAlignment="1">
      <alignment horizontal="center" vertical="center"/>
    </xf>
    <xf numFmtId="0" fontId="6" fillId="4" borderId="5" xfId="0" applyFont="1" applyFill="1" applyBorder="1" applyAlignment="1">
      <alignment horizontal="left" vertical="center" indent="1"/>
    </xf>
    <xf numFmtId="164" fontId="6" fillId="4" borderId="5" xfId="0" applyNumberFormat="1" applyFont="1" applyFill="1" applyBorder="1" applyAlignment="1">
      <alignment horizontal="right" vertical="center" indent="1"/>
    </xf>
    <xf numFmtId="165" fontId="6" fillId="4" borderId="5" xfId="0" applyNumberFormat="1" applyFont="1" applyFill="1" applyBorder="1" applyAlignment="1">
      <alignment horizontal="right" vertical="center" indent="1"/>
    </xf>
    <xf numFmtId="3" fontId="6" fillId="4" borderId="5" xfId="0" applyNumberFormat="1" applyFont="1" applyFill="1" applyBorder="1" applyAlignment="1">
      <alignment horizontal="right" vertical="center" indent="1"/>
    </xf>
    <xf numFmtId="166" fontId="6" fillId="4" borderId="5" xfId="0" applyNumberFormat="1" applyFont="1" applyFill="1" applyBorder="1" applyAlignment="1">
      <alignment horizontal="right" vertical="center" indent="1"/>
    </xf>
    <xf numFmtId="168" fontId="13" fillId="0" borderId="6" xfId="0" applyNumberFormat="1" applyFont="1" applyBorder="1" applyAlignment="1">
      <alignment horizontal="right" vertical="center"/>
    </xf>
    <xf numFmtId="0" fontId="14" fillId="0" borderId="0" xfId="0" applyFont="1" applyAlignment="1">
      <alignment vertical="center"/>
    </xf>
    <xf numFmtId="169" fontId="7" fillId="0" borderId="1" xfId="0" applyNumberFormat="1" applyFont="1" applyBorder="1" applyAlignment="1">
      <alignment horizontal="right" vertical="center" indent="1"/>
    </xf>
    <xf numFmtId="170" fontId="6" fillId="0" borderId="1" xfId="0" applyNumberFormat="1" applyFont="1" applyBorder="1" applyAlignment="1">
      <alignment horizontal="right" vertical="center" indent="1"/>
    </xf>
    <xf numFmtId="170" fontId="7" fillId="0" borderId="1" xfId="0" applyNumberFormat="1" applyFont="1" applyBorder="1" applyAlignment="1">
      <alignment horizontal="right" vertical="center" indent="1"/>
    </xf>
    <xf numFmtId="0" fontId="17" fillId="0" borderId="1" xfId="0" applyFont="1" applyBorder="1" applyAlignment="1">
      <alignment horizontal="left" vertical="center" wrapText="1" indent="1"/>
    </xf>
    <xf numFmtId="169" fontId="6" fillId="0" borderId="1" xfId="0" applyNumberFormat="1" applyFont="1" applyBorder="1" applyAlignment="1">
      <alignment horizontal="right" vertical="center" indent="1"/>
    </xf>
    <xf numFmtId="164" fontId="18" fillId="0" borderId="1" xfId="0" applyNumberFormat="1" applyFont="1" applyBorder="1" applyAlignment="1">
      <alignment horizontal="right" vertical="center" indent="1"/>
    </xf>
    <xf numFmtId="164" fontId="19" fillId="0" borderId="1" xfId="0" applyNumberFormat="1" applyFont="1" applyBorder="1" applyAlignment="1">
      <alignment horizontal="right" vertical="center" indent="1"/>
    </xf>
    <xf numFmtId="171" fontId="7" fillId="0" borderId="1" xfId="0" applyNumberFormat="1" applyFont="1" applyBorder="1" applyAlignment="1">
      <alignment horizontal="right" vertical="center" indent="1"/>
    </xf>
    <xf numFmtId="0" fontId="8" fillId="0" borderId="1" xfId="0" applyFont="1" applyBorder="1" applyAlignment="1">
      <alignment horizontal="center" vertical="center"/>
    </xf>
    <xf numFmtId="171" fontId="18" fillId="0" borderId="1" xfId="0" applyNumberFormat="1" applyFont="1" applyBorder="1" applyAlignment="1">
      <alignment horizontal="right" vertical="center" indent="1"/>
    </xf>
    <xf numFmtId="164" fontId="20" fillId="0" borderId="1" xfId="0" applyNumberFormat="1" applyFont="1" applyBorder="1" applyAlignment="1">
      <alignment horizontal="right" vertical="center" indent="1"/>
    </xf>
    <xf numFmtId="164" fontId="21" fillId="0" borderId="1" xfId="0" applyNumberFormat="1" applyFont="1" applyBorder="1" applyAlignment="1">
      <alignment horizontal="right" vertical="center" indent="1"/>
    </xf>
    <xf numFmtId="0" fontId="22" fillId="0" borderId="0" xfId="0" applyFont="1" applyAlignment="1">
      <alignment vertical="center" indent="1"/>
    </xf>
    <xf numFmtId="0" fontId="7" fillId="0" borderId="1" xfId="0" applyFont="1" applyBorder="1" applyAlignment="1">
      <alignment horizontal="left" vertical="center" indent="2"/>
    </xf>
    <xf numFmtId="0" fontId="6" fillId="0" borderId="1" xfId="0" applyFont="1" applyBorder="1" applyAlignment="1">
      <alignment horizontal="center" vertical="center"/>
    </xf>
    <xf numFmtId="0" fontId="6" fillId="0" borderId="1" xfId="0" applyFont="1" applyBorder="1" applyAlignment="1">
      <alignment horizontal="left" vertical="center" indent="1"/>
    </xf>
    <xf numFmtId="3" fontId="6" fillId="0" borderId="1" xfId="0" applyNumberFormat="1" applyFont="1" applyBorder="1" applyAlignment="1">
      <alignment horizontal="right" vertical="center" indent="1"/>
    </xf>
    <xf numFmtId="172" fontId="6" fillId="0" borderId="1" xfId="0" applyNumberFormat="1" applyFont="1" applyBorder="1" applyAlignment="1">
      <alignment horizontal="right" vertical="center" indent="1"/>
    </xf>
    <xf numFmtId="172" fontId="7" fillId="0" borderId="1" xfId="0" applyNumberFormat="1" applyFont="1" applyBorder="1" applyAlignment="1">
      <alignment horizontal="right" vertical="center" indent="1"/>
    </xf>
    <xf numFmtId="173" fontId="6" fillId="0" borderId="1" xfId="0" applyNumberFormat="1" applyFont="1" applyBorder="1" applyAlignment="1">
      <alignment horizontal="right" vertical="center" indent="1"/>
    </xf>
    <xf numFmtId="173" fontId="7" fillId="0" borderId="1" xfId="0" applyNumberFormat="1" applyFont="1" applyBorder="1" applyAlignment="1">
      <alignment horizontal="right" vertical="center" indent="1"/>
    </xf>
    <xf numFmtId="0" fontId="29" fillId="4" borderId="0" xfId="0" applyFont="1" applyFill="1" applyAlignment="1">
      <alignment horizontal="center" vertical="center"/>
    </xf>
    <xf numFmtId="3" fontId="31" fillId="4" borderId="0" xfId="0" applyNumberFormat="1" applyFont="1" applyFill="1" applyAlignment="1">
      <alignment horizontal="righ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indent="1"/>
    </xf>
    <xf numFmtId="164" fontId="6" fillId="4" borderId="1" xfId="0" applyNumberFormat="1" applyFont="1" applyFill="1" applyBorder="1" applyAlignment="1">
      <alignment horizontal="right" vertical="center" indent="1"/>
    </xf>
    <xf numFmtId="171" fontId="26" fillId="4" borderId="1" xfId="0" applyNumberFormat="1" applyFont="1" applyFill="1" applyBorder="1" applyAlignment="1">
      <alignment horizontal="right" vertical="center" indent="1"/>
    </xf>
    <xf numFmtId="171" fontId="26" fillId="0" borderId="1" xfId="0" applyNumberFormat="1" applyFont="1" applyBorder="1" applyAlignment="1">
      <alignment horizontal="right" vertical="center" indent="1"/>
    </xf>
    <xf numFmtId="169" fontId="10" fillId="0" borderId="0" xfId="0" applyNumberFormat="1"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174" fontId="10" fillId="0" borderId="0" xfId="0" applyNumberFormat="1" applyFont="1" applyAlignment="1">
      <alignment vertical="center"/>
    </xf>
    <xf numFmtId="0" fontId="7" fillId="0" borderId="1" xfId="0" applyFont="1" applyBorder="1" applyAlignment="1">
      <alignment horizontal="left" vertical="top" wrapText="1" indent="1"/>
    </xf>
    <xf numFmtId="0" fontId="16" fillId="0" borderId="1" xfId="0" applyFont="1" applyBorder="1" applyAlignment="1">
      <alignment horizontal="left" vertical="top" wrapText="1" indent="1"/>
    </xf>
    <xf numFmtId="0" fontId="6" fillId="0" borderId="1" xfId="0" applyFont="1" applyBorder="1" applyAlignment="1">
      <alignment horizontal="left" vertical="top" wrapText="1" indent="1"/>
    </xf>
    <xf numFmtId="0" fontId="33" fillId="0" borderId="1" xfId="0" applyFont="1" applyBorder="1" applyAlignment="1">
      <alignment horizontal="left" vertical="top" wrapText="1" indent="1"/>
    </xf>
    <xf numFmtId="0" fontId="34" fillId="0" borderId="1" xfId="0" applyFont="1" applyBorder="1" applyAlignment="1">
      <alignment horizontal="left" vertical="top" wrapText="1" indent="1"/>
    </xf>
    <xf numFmtId="0" fontId="17" fillId="0" borderId="1" xfId="0" applyFont="1" applyBorder="1" applyAlignment="1">
      <alignment horizontal="left" vertical="top" wrapText="1" indent="1"/>
    </xf>
    <xf numFmtId="0" fontId="7" fillId="0" borderId="1" xfId="0" applyFont="1" applyBorder="1" applyAlignment="1">
      <alignment horizontal="left" vertical="center" wrapText="1" indent="1"/>
    </xf>
    <xf numFmtId="164" fontId="6" fillId="0" borderId="1" xfId="0" applyNumberFormat="1" applyFont="1" applyBorder="1" applyAlignment="1">
      <alignment horizontal="right" vertical="center" indent="1"/>
    </xf>
    <xf numFmtId="0" fontId="7" fillId="0" borderId="0" xfId="0" applyFont="1" applyAlignment="1">
      <alignment vertical="center" indent="1"/>
    </xf>
    <xf numFmtId="0" fontId="0" fillId="0" borderId="0" xfId="0"/>
    <xf numFmtId="0" fontId="16" fillId="0" borderId="0" xfId="0" applyFont="1" applyAlignment="1">
      <alignment vertical="top" wrapText="1"/>
    </xf>
    <xf numFmtId="0" fontId="46" fillId="0" borderId="0" xfId="0" applyFont="1" applyAlignment="1">
      <alignment vertical="center"/>
    </xf>
    <xf numFmtId="0" fontId="40" fillId="0" borderId="0" xfId="0" applyFont="1" applyAlignment="1">
      <alignment vertical="top" wrapText="1"/>
    </xf>
    <xf numFmtId="0" fontId="22" fillId="5" borderId="0" xfId="0" applyFont="1" applyFill="1" applyAlignment="1">
      <alignment vertical="center" wrapText="1" indent="1"/>
    </xf>
    <xf numFmtId="0" fontId="0" fillId="5" borderId="0" xfId="0" applyFill="1"/>
    <xf numFmtId="0" fontId="44" fillId="0" borderId="0" xfId="0" applyFont="1" applyAlignment="1">
      <alignment vertical="top"/>
    </xf>
    <xf numFmtId="0" fontId="43" fillId="0" borderId="0" xfId="0" applyFont="1" applyAlignment="1">
      <alignment vertical="center"/>
    </xf>
    <xf numFmtId="0" fontId="40" fillId="0" borderId="0" xfId="0" applyFont="1" applyAlignment="1">
      <alignment vertical="center"/>
    </xf>
    <xf numFmtId="0" fontId="45" fillId="0" borderId="0" xfId="0" applyFont="1" applyAlignment="1">
      <alignment vertical="top" wrapText="1"/>
    </xf>
    <xf numFmtId="0" fontId="30" fillId="0" borderId="0" xfId="0" applyFont="1"/>
    <xf numFmtId="166" fontId="24" fillId="0" borderId="1" xfId="0" applyNumberFormat="1" applyFont="1" applyBorder="1" applyAlignment="1">
      <alignment horizontal="right" vertical="center"/>
    </xf>
    <xf numFmtId="0" fontId="0" fillId="0" borderId="1" xfId="0" applyBorder="1"/>
    <xf numFmtId="0" fontId="41" fillId="0" borderId="1" xfId="0" applyFont="1" applyBorder="1" applyAlignment="1">
      <alignment horizontal="left" vertical="center" indent="1"/>
    </xf>
    <xf numFmtId="176" fontId="24" fillId="0" borderId="1" xfId="0" applyNumberFormat="1" applyFont="1" applyBorder="1" applyAlignment="1">
      <alignment horizontal="left" vertical="center" indent="1"/>
    </xf>
    <xf numFmtId="0" fontId="37" fillId="4" borderId="0" xfId="0" applyFont="1" applyFill="1" applyAlignment="1">
      <alignment horizontal="left" vertical="top" wrapText="1" indent="1"/>
    </xf>
    <xf numFmtId="0" fontId="0" fillId="4" borderId="0" xfId="0" applyFill="1"/>
    <xf numFmtId="0" fontId="39" fillId="0" borderId="0" xfId="0" applyFont="1" applyAlignment="1">
      <alignment horizontal="center" vertical="top"/>
    </xf>
    <xf numFmtId="166" fontId="41" fillId="0" borderId="1" xfId="0" applyNumberFormat="1" applyFont="1" applyBorder="1" applyAlignment="1">
      <alignment horizontal="center" vertical="center"/>
    </xf>
    <xf numFmtId="172" fontId="36" fillId="4" borderId="0" xfId="0" applyNumberFormat="1" applyFont="1" applyFill="1" applyAlignment="1">
      <alignment horizontal="left" vertical="center" indent="1"/>
    </xf>
    <xf numFmtId="164" fontId="36" fillId="4" borderId="0" xfId="0" applyNumberFormat="1" applyFont="1" applyFill="1" applyAlignment="1">
      <alignment horizontal="left" vertical="center" indent="1"/>
    </xf>
    <xf numFmtId="171" fontId="36" fillId="4" borderId="0" xfId="0" applyNumberFormat="1" applyFont="1" applyFill="1" applyAlignment="1">
      <alignment horizontal="left" vertical="center" indent="1"/>
    </xf>
    <xf numFmtId="0" fontId="40" fillId="0" borderId="1" xfId="0" applyFont="1" applyBorder="1" applyAlignment="1">
      <alignment vertical="top" wrapText="1"/>
    </xf>
    <xf numFmtId="173" fontId="36" fillId="4" borderId="0" xfId="0" applyNumberFormat="1" applyFont="1" applyFill="1" applyAlignment="1">
      <alignment horizontal="left" vertical="center" indent="1"/>
    </xf>
    <xf numFmtId="9" fontId="24" fillId="0" borderId="1" xfId="0" applyNumberFormat="1" applyFont="1" applyBorder="1" applyAlignment="1">
      <alignment horizontal="left" vertical="center" indent="1"/>
    </xf>
    <xf numFmtId="0" fontId="38" fillId="4" borderId="0" xfId="0" applyFont="1" applyFill="1" applyAlignment="1">
      <alignment vertical="center" indent="1"/>
    </xf>
    <xf numFmtId="0" fontId="35" fillId="4" borderId="10" xfId="0" applyFont="1" applyFill="1" applyBorder="1" applyAlignment="1">
      <alignment indent="1"/>
    </xf>
    <xf numFmtId="0" fontId="0" fillId="4" borderId="10" xfId="0" applyFill="1" applyBorder="1"/>
    <xf numFmtId="0" fontId="5" fillId="3" borderId="0" xfId="0" applyFont="1" applyFill="1" applyAlignment="1">
      <alignment horizontal="center" vertical="center"/>
    </xf>
    <xf numFmtId="0" fontId="0" fillId="3" borderId="0" xfId="0" applyFill="1"/>
    <xf numFmtId="175" fontId="36" fillId="4" borderId="0" xfId="0" applyNumberFormat="1" applyFont="1" applyFill="1" applyAlignment="1">
      <alignment horizontal="left" vertical="center" indent="1"/>
    </xf>
    <xf numFmtId="0" fontId="35" fillId="4" borderId="13" xfId="0" applyFont="1" applyFill="1" applyBorder="1" applyAlignment="1">
      <alignment indent="1"/>
    </xf>
    <xf numFmtId="0" fontId="0" fillId="4" borderId="13" xfId="0" applyFill="1" applyBorder="1"/>
    <xf numFmtId="0" fontId="1" fillId="0" borderId="0" xfId="0" applyFont="1"/>
    <xf numFmtId="0" fontId="14" fillId="0" borderId="0" xfId="0" applyFont="1" applyAlignment="1">
      <alignment vertical="top" wrapText="1"/>
    </xf>
    <xf numFmtId="0" fontId="35" fillId="4" borderId="9" xfId="0" applyFont="1" applyFill="1" applyBorder="1" applyAlignment="1">
      <alignment indent="1"/>
    </xf>
    <xf numFmtId="0" fontId="0" fillId="4" borderId="9" xfId="0" applyFill="1" applyBorder="1"/>
    <xf numFmtId="0" fontId="35" fillId="4" borderId="11" xfId="0" applyFont="1" applyFill="1" applyBorder="1" applyAlignment="1">
      <alignment indent="1"/>
    </xf>
    <xf numFmtId="0" fontId="0" fillId="4" borderId="11" xfId="0" applyFill="1" applyBorder="1"/>
    <xf numFmtId="168" fontId="36" fillId="4" borderId="0" xfId="0" applyNumberFormat="1" applyFont="1" applyFill="1" applyAlignment="1">
      <alignment horizontal="left" vertical="center" indent="1"/>
    </xf>
    <xf numFmtId="0" fontId="35" fillId="4" borderId="12" xfId="0" applyFont="1" applyFill="1" applyBorder="1" applyAlignment="1">
      <alignment indent="1"/>
    </xf>
    <xf numFmtId="0" fontId="0" fillId="4" borderId="12" xfId="0" applyFill="1" applyBorder="1"/>
    <xf numFmtId="0" fontId="9" fillId="4" borderId="2" xfId="0" applyFont="1" applyFill="1" applyBorder="1" applyAlignment="1">
      <alignment horizontal="center" vertical="center"/>
    </xf>
    <xf numFmtId="0" fontId="0" fillId="4" borderId="2" xfId="0" applyFill="1" applyBorder="1"/>
    <xf numFmtId="0" fontId="9" fillId="5" borderId="3" xfId="0" applyFont="1" applyFill="1" applyBorder="1" applyAlignment="1">
      <alignment horizontal="center" vertical="center"/>
    </xf>
    <xf numFmtId="0" fontId="0" fillId="5" borderId="3" xfId="0" applyFill="1" applyBorder="1"/>
    <xf numFmtId="0" fontId="8" fillId="0" borderId="0" xfId="0" applyFont="1" applyAlignment="1">
      <alignment vertical="top" wrapText="1"/>
    </xf>
    <xf numFmtId="0" fontId="9" fillId="6" borderId="4" xfId="0" applyFont="1" applyFill="1" applyBorder="1" applyAlignment="1">
      <alignment horizontal="center" vertical="center"/>
    </xf>
    <xf numFmtId="0" fontId="0" fillId="6" borderId="4" xfId="0" applyFill="1" applyBorder="1"/>
    <xf numFmtId="0" fontId="6" fillId="0" borderId="0" xfId="0" applyFont="1" applyAlignment="1">
      <alignment vertical="center"/>
    </xf>
    <xf numFmtId="0" fontId="7" fillId="0" borderId="1" xfId="0" applyFont="1" applyBorder="1" applyAlignment="1">
      <alignment horizontal="left" vertical="center" indent="1"/>
    </xf>
    <xf numFmtId="0" fontId="0" fillId="0" borderId="7" xfId="0" applyBorder="1"/>
    <xf numFmtId="0" fontId="5" fillId="3" borderId="0" xfId="0" applyFont="1" applyFill="1" applyAlignment="1">
      <alignment horizontal="center" vertical="center" wrapText="1"/>
    </xf>
    <xf numFmtId="0" fontId="15" fillId="4" borderId="0" xfId="0" applyFont="1" applyFill="1" applyAlignment="1">
      <alignment vertical="center" wrapText="1"/>
    </xf>
    <xf numFmtId="0" fontId="17" fillId="4" borderId="0" xfId="0" applyFont="1" applyFill="1" applyAlignment="1">
      <alignment horizontal="left" indent="1"/>
    </xf>
    <xf numFmtId="0" fontId="24" fillId="0" borderId="1" xfId="0" applyFont="1" applyBorder="1" applyAlignment="1">
      <alignment vertical="center" indent="1"/>
    </xf>
    <xf numFmtId="3" fontId="30" fillId="4" borderId="0" xfId="0" applyNumberFormat="1" applyFont="1" applyFill="1" applyAlignment="1">
      <alignment horizontal="left" vertical="center" indent="1"/>
    </xf>
    <xf numFmtId="0" fontId="14" fillId="4" borderId="0" xfId="0" applyFont="1" applyFill="1" applyAlignment="1">
      <alignment vertical="center" indent="1"/>
    </xf>
    <xf numFmtId="164" fontId="25" fillId="5" borderId="8" xfId="0" applyNumberFormat="1" applyFont="1" applyFill="1" applyBorder="1" applyAlignment="1">
      <alignment horizontal="center" vertical="center"/>
    </xf>
    <xf numFmtId="0" fontId="0" fillId="5" borderId="8" xfId="0" applyFill="1" applyBorder="1"/>
    <xf numFmtId="164" fontId="27" fillId="4" borderId="0" xfId="0" applyNumberFormat="1" applyFont="1" applyFill="1" applyAlignment="1">
      <alignment horizontal="left" vertical="center" indent="1"/>
    </xf>
    <xf numFmtId="0" fontId="15" fillId="5" borderId="0" xfId="0" applyFont="1" applyFill="1" applyAlignment="1">
      <alignment vertical="top" wrapText="1" indent="1"/>
    </xf>
    <xf numFmtId="0" fontId="17" fillId="4" borderId="0" xfId="0" applyFont="1" applyFill="1" applyAlignment="1">
      <alignment vertical="center" wrapText="1" indent="1"/>
    </xf>
    <xf numFmtId="0" fontId="32" fillId="5" borderId="0" xfId="0" applyFont="1" applyFill="1" applyAlignment="1">
      <alignment vertical="center" wrapText="1" indent="1"/>
    </xf>
    <xf numFmtId="0" fontId="25" fillId="5" borderId="8" xfId="0" applyFont="1" applyFill="1" applyBorder="1" applyAlignment="1">
      <alignment horizontal="center" vertical="center"/>
    </xf>
    <xf numFmtId="171" fontId="28" fillId="4" borderId="0" xfId="0" applyNumberFormat="1" applyFont="1" applyFill="1" applyAlignment="1">
      <alignment horizontal="left" vertical="center" indent="1"/>
    </xf>
  </cellXfs>
  <cellStyles count="1">
    <cellStyle name="Normal" xfId="0" builtinId="0"/>
  </cellStyles>
  <dxfs count="13">
    <dxf>
      <font>
        <b/>
        <color rgb="FFAB0F24"/>
        <name val="Segoe UI"/>
      </font>
    </dxf>
    <dxf>
      <font>
        <b/>
        <color rgb="FF3366CC"/>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b/>
        <color rgb="FFBF0A00"/>
        <name val="Segoe UI"/>
      </font>
    </dxf>
    <dxf>
      <font>
        <b/>
        <color rgb="FFBF0A00"/>
        <name val="Segoe U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IBS</c:v>
          </c:tx>
          <c:spPr>
            <a:ln>
              <a:prstDash val="solid"/>
            </a:ln>
          </c:spPr>
          <c:invertIfNegative val="0"/>
          <c:dPt>
            <c:idx val="0"/>
            <c:invertIfNegative val="0"/>
            <c:bubble3D val="0"/>
            <c:spPr>
              <a:solidFill>
                <a:srgbClr val="D99A16"/>
              </a:solidFill>
              <a:ln>
                <a:noFill/>
                <a:prstDash val="solid"/>
              </a:ln>
            </c:spPr>
            <c:extLst>
              <c:ext xmlns:c16="http://schemas.microsoft.com/office/drawing/2014/chart" uri="{C3380CC4-5D6E-409C-BE32-E72D297353CC}">
                <c16:uniqueId val="{00000001-1D61-4EAA-8CDC-76A206B6CF60}"/>
              </c:ext>
            </c:extLst>
          </c:dPt>
          <c:dPt>
            <c:idx val="1"/>
            <c:invertIfNegative val="0"/>
            <c:bubble3D val="0"/>
            <c:spPr>
              <a:solidFill>
                <a:srgbClr val="D99A16"/>
              </a:solidFill>
              <a:ln>
                <a:noFill/>
                <a:prstDash val="solid"/>
              </a:ln>
            </c:spPr>
            <c:extLst>
              <c:ext xmlns:c16="http://schemas.microsoft.com/office/drawing/2014/chart" uri="{C3380CC4-5D6E-409C-BE32-E72D297353CC}">
                <c16:uniqueId val="{00000003-1D61-4EAA-8CDC-76A206B6CF60}"/>
              </c:ext>
            </c:extLst>
          </c:dPt>
          <c:dPt>
            <c:idx val="2"/>
            <c:invertIfNegative val="0"/>
            <c:bubble3D val="0"/>
            <c:spPr>
              <a:solidFill>
                <a:srgbClr val="D99A16"/>
              </a:solidFill>
              <a:ln>
                <a:noFill/>
                <a:prstDash val="solid"/>
              </a:ln>
            </c:spPr>
            <c:extLst>
              <c:ext xmlns:c16="http://schemas.microsoft.com/office/drawing/2014/chart" uri="{C3380CC4-5D6E-409C-BE32-E72D297353CC}">
                <c16:uniqueId val="{00000005-1D61-4EAA-8CDC-76A206B6CF60}"/>
              </c:ext>
            </c:extLst>
          </c:dPt>
          <c:dPt>
            <c:idx val="3"/>
            <c:invertIfNegative val="0"/>
            <c:bubble3D val="0"/>
            <c:spPr>
              <a:solidFill>
                <a:srgbClr val="D99A16"/>
              </a:solidFill>
              <a:ln>
                <a:noFill/>
                <a:prstDash val="solid"/>
              </a:ln>
            </c:spPr>
            <c:extLst>
              <c:ext xmlns:c16="http://schemas.microsoft.com/office/drawing/2014/chart" uri="{C3380CC4-5D6E-409C-BE32-E72D297353CC}">
                <c16:uniqueId val="{00000007-1D61-4EAA-8CDC-76A206B6CF60}"/>
              </c:ext>
            </c:extLst>
          </c:dPt>
          <c:dPt>
            <c:idx val="4"/>
            <c:invertIfNegative val="0"/>
            <c:bubble3D val="0"/>
            <c:spPr>
              <a:solidFill>
                <a:srgbClr val="D99A16"/>
              </a:solidFill>
              <a:ln>
                <a:noFill/>
                <a:prstDash val="solid"/>
              </a:ln>
            </c:spPr>
            <c:extLst>
              <c:ext xmlns:c16="http://schemas.microsoft.com/office/drawing/2014/chart" uri="{C3380CC4-5D6E-409C-BE32-E72D297353CC}">
                <c16:uniqueId val="{00000009-1D61-4EAA-8CDC-76A206B6CF60}"/>
              </c:ext>
            </c:extLst>
          </c:dPt>
          <c:dPt>
            <c:idx val="5"/>
            <c:invertIfNegative val="0"/>
            <c:bubble3D val="0"/>
            <c:spPr>
              <a:solidFill>
                <a:srgbClr val="D99A16"/>
              </a:solidFill>
              <a:ln>
                <a:noFill/>
                <a:prstDash val="solid"/>
              </a:ln>
            </c:spPr>
            <c:extLst>
              <c:ext xmlns:c16="http://schemas.microsoft.com/office/drawing/2014/chart" uri="{C3380CC4-5D6E-409C-BE32-E72D297353CC}">
                <c16:uniqueId val="{0000000B-1D61-4EAA-8CDC-76A206B6CF60}"/>
              </c:ext>
            </c:extLst>
          </c:dPt>
          <c:dPt>
            <c:idx val="6"/>
            <c:invertIfNegative val="0"/>
            <c:bubble3D val="0"/>
            <c:spPr>
              <a:solidFill>
                <a:srgbClr val="D99A16"/>
              </a:solidFill>
              <a:ln>
                <a:noFill/>
                <a:prstDash val="solid"/>
              </a:ln>
            </c:spPr>
            <c:extLst>
              <c:ext xmlns:c16="http://schemas.microsoft.com/office/drawing/2014/chart" uri="{C3380CC4-5D6E-409C-BE32-E72D297353CC}">
                <c16:uniqueId val="{0000000D-1D61-4EAA-8CDC-76A206B6CF60}"/>
              </c:ext>
            </c:extLst>
          </c:dPt>
          <c:dPt>
            <c:idx val="7"/>
            <c:invertIfNegative val="0"/>
            <c:bubble3D val="0"/>
            <c:spPr>
              <a:solidFill>
                <a:srgbClr val="D99A16"/>
              </a:solidFill>
              <a:ln>
                <a:noFill/>
                <a:prstDash val="solid"/>
              </a:ln>
            </c:spPr>
            <c:extLst>
              <c:ext xmlns:c16="http://schemas.microsoft.com/office/drawing/2014/chart" uri="{C3380CC4-5D6E-409C-BE32-E72D297353CC}">
                <c16:uniqueId val="{0000000F-1D61-4EAA-8CDC-76A206B6CF60}"/>
              </c:ext>
            </c:extLst>
          </c:dPt>
          <c:dPt>
            <c:idx val="8"/>
            <c:invertIfNegative val="0"/>
            <c:bubble3D val="0"/>
            <c:spPr>
              <a:solidFill>
                <a:srgbClr val="3366CC"/>
              </a:solidFill>
              <a:ln>
                <a:noFill/>
                <a:prstDash val="solid"/>
              </a:ln>
            </c:spPr>
            <c:extLst>
              <c:ext xmlns:c16="http://schemas.microsoft.com/office/drawing/2014/chart" uri="{C3380CC4-5D6E-409C-BE32-E72D297353CC}">
                <c16:uniqueId val="{00000011-1D61-4EAA-8CDC-76A206B6CF60}"/>
              </c:ext>
            </c:extLst>
          </c:dPt>
          <c:dPt>
            <c:idx val="9"/>
            <c:invertIfNegative val="0"/>
            <c:bubble3D val="0"/>
            <c:spPr>
              <a:solidFill>
                <a:srgbClr val="3366CC"/>
              </a:solidFill>
              <a:ln>
                <a:noFill/>
                <a:prstDash val="solid"/>
              </a:ln>
            </c:spPr>
            <c:extLst>
              <c:ext xmlns:c16="http://schemas.microsoft.com/office/drawing/2014/chart" uri="{C3380CC4-5D6E-409C-BE32-E72D297353CC}">
                <c16:uniqueId val="{00000013-1D61-4EAA-8CDC-76A206B6CF60}"/>
              </c:ext>
            </c:extLst>
          </c:dPt>
          <c:dPt>
            <c:idx val="10"/>
            <c:invertIfNegative val="0"/>
            <c:bubble3D val="0"/>
            <c:spPr>
              <a:solidFill>
                <a:srgbClr val="3366CC"/>
              </a:solidFill>
              <a:ln>
                <a:noFill/>
                <a:prstDash val="solid"/>
              </a:ln>
            </c:spPr>
            <c:extLst>
              <c:ext xmlns:c16="http://schemas.microsoft.com/office/drawing/2014/chart" uri="{C3380CC4-5D6E-409C-BE32-E72D297353CC}">
                <c16:uniqueId val="{00000015-1D61-4EAA-8CDC-76A206B6CF60}"/>
              </c:ext>
            </c:extLst>
          </c:dPt>
          <c:dPt>
            <c:idx val="11"/>
            <c:invertIfNegative val="0"/>
            <c:bubble3D val="0"/>
            <c:spPr>
              <a:solidFill>
                <a:srgbClr val="3366CC"/>
              </a:solidFill>
              <a:ln>
                <a:noFill/>
                <a:prstDash val="solid"/>
              </a:ln>
            </c:spPr>
            <c:extLst>
              <c:ext xmlns:c16="http://schemas.microsoft.com/office/drawing/2014/chart" uri="{C3380CC4-5D6E-409C-BE32-E72D297353CC}">
                <c16:uniqueId val="{00000017-1D61-4EAA-8CDC-76A206B6CF60}"/>
              </c:ext>
            </c:extLst>
          </c:dPt>
          <c:dPt>
            <c:idx val="12"/>
            <c:invertIfNegative val="0"/>
            <c:bubble3D val="0"/>
            <c:spPr>
              <a:solidFill>
                <a:srgbClr val="3366CC"/>
              </a:solidFill>
              <a:ln>
                <a:noFill/>
                <a:prstDash val="solid"/>
              </a:ln>
            </c:spPr>
            <c:extLst>
              <c:ext xmlns:c16="http://schemas.microsoft.com/office/drawing/2014/chart" uri="{C3380CC4-5D6E-409C-BE32-E72D297353CC}">
                <c16:uniqueId val="{00000019-1D61-4EAA-8CDC-76A206B6CF60}"/>
              </c:ext>
            </c:extLst>
          </c:dPt>
          <c:dPt>
            <c:idx val="13"/>
            <c:invertIfNegative val="0"/>
            <c:bubble3D val="0"/>
            <c:spPr>
              <a:solidFill>
                <a:srgbClr val="3366CC"/>
              </a:solidFill>
              <a:ln>
                <a:noFill/>
                <a:prstDash val="solid"/>
              </a:ln>
            </c:spPr>
            <c:extLst>
              <c:ext xmlns:c16="http://schemas.microsoft.com/office/drawing/2014/chart" uri="{C3380CC4-5D6E-409C-BE32-E72D297353CC}">
                <c16:uniqueId val="{0000001B-1D61-4EAA-8CDC-76A206B6CF60}"/>
              </c:ext>
            </c:extLst>
          </c:dPt>
          <c:dPt>
            <c:idx val="14"/>
            <c:invertIfNegative val="0"/>
            <c:bubble3D val="0"/>
            <c:spPr>
              <a:solidFill>
                <a:srgbClr val="3366CC"/>
              </a:solidFill>
              <a:ln>
                <a:noFill/>
                <a:prstDash val="solid"/>
              </a:ln>
            </c:spPr>
            <c:extLst>
              <c:ext xmlns:c16="http://schemas.microsoft.com/office/drawing/2014/chart" uri="{C3380CC4-5D6E-409C-BE32-E72D297353CC}">
                <c16:uniqueId val="{0000001D-1D61-4EAA-8CDC-76A206B6CF60}"/>
              </c:ext>
            </c:extLst>
          </c:dPt>
          <c:dPt>
            <c:idx val="15"/>
            <c:invertIfNegative val="0"/>
            <c:bubble3D val="0"/>
            <c:spPr>
              <a:solidFill>
                <a:srgbClr val="3366CC"/>
              </a:solidFill>
              <a:ln>
                <a:noFill/>
                <a:prstDash val="solid"/>
              </a:ln>
            </c:spPr>
            <c:extLst>
              <c:ext xmlns:c16="http://schemas.microsoft.com/office/drawing/2014/chart" uri="{C3380CC4-5D6E-409C-BE32-E72D297353CC}">
                <c16:uniqueId val="{0000001F-1D61-4EAA-8CDC-76A206B6CF60}"/>
              </c:ext>
            </c:extLst>
          </c:dPt>
          <c:dPt>
            <c:idx val="16"/>
            <c:invertIfNegative val="0"/>
            <c:bubble3D val="0"/>
            <c:spPr>
              <a:solidFill>
                <a:srgbClr val="3366CC"/>
              </a:solidFill>
              <a:ln>
                <a:noFill/>
                <a:prstDash val="solid"/>
              </a:ln>
            </c:spPr>
            <c:extLst>
              <c:ext xmlns:c16="http://schemas.microsoft.com/office/drawing/2014/chart" uri="{C3380CC4-5D6E-409C-BE32-E72D297353CC}">
                <c16:uniqueId val="{00000021-1D61-4EAA-8CDC-76A206B6CF60}"/>
              </c:ext>
            </c:extLst>
          </c:dPt>
          <c:dPt>
            <c:idx val="17"/>
            <c:invertIfNegative val="0"/>
            <c:bubble3D val="0"/>
            <c:spPr>
              <a:solidFill>
                <a:srgbClr val="3366CC"/>
              </a:solidFill>
              <a:ln>
                <a:noFill/>
                <a:prstDash val="solid"/>
              </a:ln>
            </c:spPr>
            <c:extLst>
              <c:ext xmlns:c16="http://schemas.microsoft.com/office/drawing/2014/chart" uri="{C3380CC4-5D6E-409C-BE32-E72D297353CC}">
                <c16:uniqueId val="{00000023-1D61-4EAA-8CDC-76A206B6CF60}"/>
              </c:ext>
            </c:extLst>
          </c:dPt>
          <c:dPt>
            <c:idx val="18"/>
            <c:invertIfNegative val="0"/>
            <c:bubble3D val="0"/>
            <c:spPr>
              <a:solidFill>
                <a:srgbClr val="3366CC"/>
              </a:solidFill>
              <a:ln>
                <a:noFill/>
                <a:prstDash val="solid"/>
              </a:ln>
            </c:spPr>
            <c:extLst>
              <c:ext xmlns:c16="http://schemas.microsoft.com/office/drawing/2014/chart" uri="{C3380CC4-5D6E-409C-BE32-E72D297353CC}">
                <c16:uniqueId val="{00000025-1D61-4EAA-8CDC-76A206B6CF60}"/>
              </c:ext>
            </c:extLst>
          </c:dPt>
          <c:errBars>
            <c:errBarType val="both"/>
            <c:errValType val="cust"/>
            <c:noEndCap val="0"/>
            <c:plus>
              <c:numRef>
                <c:f>Indice_brecha!$Q$8:$Q$26</c:f>
                <c:numCache>
                  <c:formatCode>General</c:formatCode>
                  <c:ptCount val="19"/>
                  <c:pt idx="0">
                    <c:v>0.31680328553945802</c:v>
                  </c:pt>
                  <c:pt idx="1">
                    <c:v>0.27640144095237629</c:v>
                  </c:pt>
                  <c:pt idx="2">
                    <c:v>0.42585084189154698</c:v>
                  </c:pt>
                  <c:pt idx="3">
                    <c:v>0.35891297784932319</c:v>
                  </c:pt>
                  <c:pt idx="4">
                    <c:v>0.47605913395554245</c:v>
                  </c:pt>
                  <c:pt idx="5">
                    <c:v>0.46427282530338387</c:v>
                  </c:pt>
                  <c:pt idx="6">
                    <c:v>0.32009556025347463</c:v>
                  </c:pt>
                  <c:pt idx="7">
                    <c:v>0.35905037103722282</c:v>
                  </c:pt>
                  <c:pt idx="8">
                    <c:v>0.44378288102551133</c:v>
                  </c:pt>
                  <c:pt idx="9">
                    <c:v>0.48757015028613226</c:v>
                  </c:pt>
                  <c:pt idx="10">
                    <c:v>0.52195549727124968</c:v>
                  </c:pt>
                  <c:pt idx="11">
                    <c:v>0.46734970577274793</c:v>
                  </c:pt>
                  <c:pt idx="12">
                    <c:v>0.45037628585698603</c:v>
                  </c:pt>
                  <c:pt idx="13">
                    <c:v>0.59515841984108719</c:v>
                  </c:pt>
                  <c:pt idx="14">
                    <c:v>0.45687589118920047</c:v>
                  </c:pt>
                  <c:pt idx="15">
                    <c:v>0.39659218412111108</c:v>
                  </c:pt>
                  <c:pt idx="16">
                    <c:v>0.39174592521546892</c:v>
                  </c:pt>
                  <c:pt idx="17">
                    <c:v>0.5228923431047523</c:v>
                  </c:pt>
                  <c:pt idx="18">
                    <c:v>0.57064211188337</c:v>
                  </c:pt>
                </c:numCache>
              </c:numRef>
            </c:plus>
            <c:minus>
              <c:numRef>
                <c:f>Indice_brecha!$R$8:$R$26</c:f>
                <c:numCache>
                  <c:formatCode>General</c:formatCode>
                  <c:ptCount val="19"/>
                  <c:pt idx="0">
                    <c:v>0.43803622558869959</c:v>
                  </c:pt>
                  <c:pt idx="1">
                    <c:v>0.39989420644754059</c:v>
                  </c:pt>
                  <c:pt idx="2">
                    <c:v>0.47899966551315409</c:v>
                  </c:pt>
                  <c:pt idx="3">
                    <c:v>0.42706353666578778</c:v>
                  </c:pt>
                  <c:pt idx="4">
                    <c:v>0.54916606016085301</c:v>
                  </c:pt>
                  <c:pt idx="5">
                    <c:v>0.49303086144949682</c:v>
                  </c:pt>
                  <c:pt idx="6">
                    <c:v>0.32036635008071279</c:v>
                  </c:pt>
                  <c:pt idx="7">
                    <c:v>0.29323302095034109</c:v>
                  </c:pt>
                  <c:pt idx="8">
                    <c:v>0.47369872368733801</c:v>
                  </c:pt>
                  <c:pt idx="9">
                    <c:v>0.60145306969696766</c:v>
                  </c:pt>
                  <c:pt idx="10">
                    <c:v>0.46329140370029831</c:v>
                  </c:pt>
                  <c:pt idx="11">
                    <c:v>0.34670215320837983</c:v>
                  </c:pt>
                  <c:pt idx="12">
                    <c:v>0.4555506229619547</c:v>
                  </c:pt>
                  <c:pt idx="13">
                    <c:v>0.75520825376601075</c:v>
                  </c:pt>
                  <c:pt idx="14">
                    <c:v>0.50721896301842828</c:v>
                  </c:pt>
                  <c:pt idx="15">
                    <c:v>0.22413260519994394</c:v>
                  </c:pt>
                  <c:pt idx="16">
                    <c:v>0.23813045291598711</c:v>
                  </c:pt>
                  <c:pt idx="17">
                    <c:v>0.41415897954345349</c:v>
                  </c:pt>
                  <c:pt idx="18">
                    <c:v>0.48597235980786202</c:v>
                  </c:pt>
                </c:numCache>
              </c:numRef>
            </c:minus>
            <c:spPr>
              <a:ln w="12700">
                <a:solidFill>
                  <a:srgbClr val="4B4B4B"/>
                </a:solidFill>
                <a:prstDash val="solid"/>
              </a:ln>
            </c:spPr>
          </c:errBars>
          <c:cat>
            <c:strRef>
              <c:f>Indice_brecha!$D$8:$D$26</c:f>
              <c:strCache>
                <c:ptCount val="19"/>
                <c:pt idx="0">
                  <c:v>Usme</c:v>
                </c:pt>
                <c:pt idx="1">
                  <c:v>Ciudad Bolívar</c:v>
                </c:pt>
                <c:pt idx="2">
                  <c:v>Bosa</c:v>
                </c:pt>
                <c:pt idx="3">
                  <c:v>Kennedy</c:v>
                </c:pt>
                <c:pt idx="4">
                  <c:v>San Cristóbal</c:v>
                </c:pt>
                <c:pt idx="5">
                  <c:v>Rafael Uribe Uribe</c:v>
                </c:pt>
                <c:pt idx="6">
                  <c:v>Engativá</c:v>
                </c:pt>
                <c:pt idx="7">
                  <c:v>Suba</c:v>
                </c:pt>
                <c:pt idx="8">
                  <c:v>Antonio Nariño</c:v>
                </c:pt>
                <c:pt idx="9">
                  <c:v>Santa Fe</c:v>
                </c:pt>
                <c:pt idx="10">
                  <c:v>Puente Aranda</c:v>
                </c:pt>
                <c:pt idx="11">
                  <c:v>Tunjuelito</c:v>
                </c:pt>
                <c:pt idx="12">
                  <c:v>Barrios Unidos</c:v>
                </c:pt>
                <c:pt idx="13">
                  <c:v>La Candelaria</c:v>
                </c:pt>
                <c:pt idx="14">
                  <c:v>Chapinero</c:v>
                </c:pt>
                <c:pt idx="15">
                  <c:v>Usaquén</c:v>
                </c:pt>
                <c:pt idx="16">
                  <c:v>Fontibón</c:v>
                </c:pt>
                <c:pt idx="17">
                  <c:v>Teusaquillo</c:v>
                </c:pt>
                <c:pt idx="18">
                  <c:v>Los Mártires</c:v>
                </c:pt>
              </c:strCache>
            </c:strRef>
          </c:cat>
          <c:val>
            <c:numRef>
              <c:f>Indice_brecha!$J$8:$J$26</c:f>
              <c:numCache>
                <c:formatCode>\+0.00;"−"0.00;0.00</c:formatCode>
                <c:ptCount val="19"/>
                <c:pt idx="0">
                  <c:v>2.6672309882365788</c:v>
                </c:pt>
                <c:pt idx="1">
                  <c:v>2.3382983922558367</c:v>
                </c:pt>
                <c:pt idx="2">
                  <c:v>1.966110119407676</c:v>
                </c:pt>
                <c:pt idx="3">
                  <c:v>1.7169762806915718</c:v>
                </c:pt>
                <c:pt idx="4">
                  <c:v>1.5442032013914186</c:v>
                </c:pt>
                <c:pt idx="5">
                  <c:v>0.91107103998490713</c:v>
                </c:pt>
                <c:pt idx="6">
                  <c:v>0.49807170408291068</c:v>
                </c:pt>
                <c:pt idx="7">
                  <c:v>0.2317798284958752</c:v>
                </c:pt>
                <c:pt idx="8">
                  <c:v>-0.31011027662841772</c:v>
                </c:pt>
                <c:pt idx="9">
                  <c:v>-0.38642357658119475</c:v>
                </c:pt>
                <c:pt idx="10">
                  <c:v>-0.69259324577938963</c:v>
                </c:pt>
                <c:pt idx="11">
                  <c:v>-0.7007249488574292</c:v>
                </c:pt>
                <c:pt idx="12">
                  <c:v>-0.7236455544608652</c:v>
                </c:pt>
                <c:pt idx="13">
                  <c:v>-0.84540390842906921</c:v>
                </c:pt>
                <c:pt idx="14">
                  <c:v>-0.97618727147690576</c:v>
                </c:pt>
                <c:pt idx="15">
                  <c:v>-1.408767612728798</c:v>
                </c:pt>
                <c:pt idx="16">
                  <c:v>-1.6829249174135039</c:v>
                </c:pt>
                <c:pt idx="17">
                  <c:v>-2.0304983961382064</c:v>
                </c:pt>
                <c:pt idx="18">
                  <c:v>-2.116461846052986</c:v>
                </c:pt>
              </c:numCache>
            </c:numRef>
          </c:val>
          <c:extLst>
            <c:ext xmlns:c16="http://schemas.microsoft.com/office/drawing/2014/chart" uri="{C3380CC4-5D6E-409C-BE32-E72D297353CC}">
              <c16:uniqueId val="{00000026-1D61-4EAA-8CDC-76A206B6CF60}"/>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9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3"/>
          <c:min val="-3"/>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majorUnit val="1"/>
      </c:valAx>
    </c:plotArea>
    <c:plotVisOnly val="1"/>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Víctimas por delito registrado</c:v>
          </c:tx>
          <c:spPr>
            <a:solidFill>
              <a:srgbClr val="AB0F24"/>
            </a:solidFill>
            <a:ln>
              <a:noFill/>
              <a:prstDash val="solid"/>
            </a:ln>
          </c:spPr>
          <c:invertIfNegative val="1"/>
          <c:errBars>
            <c:errBarType val="both"/>
            <c:errValType val="cust"/>
            <c:noEndCap val="0"/>
            <c:plus>
              <c:numRef>
                <c:f>Cifra_oculta!$Q$8:$Q$26</c:f>
                <c:numCache>
                  <c:formatCode>General</c:formatCode>
                  <c:ptCount val="19"/>
                  <c:pt idx="0">
                    <c:v>3.6071330767572363</c:v>
                  </c:pt>
                  <c:pt idx="1">
                    <c:v>2.77671114597082</c:v>
                  </c:pt>
                  <c:pt idx="2">
                    <c:v>3.0975466724790834</c:v>
                  </c:pt>
                  <c:pt idx="3">
                    <c:v>3.0686967879160036</c:v>
                  </c:pt>
                  <c:pt idx="4">
                    <c:v>2.5240940773016654</c:v>
                  </c:pt>
                  <c:pt idx="5">
                    <c:v>3.2036062259007183</c:v>
                  </c:pt>
                  <c:pt idx="6">
                    <c:v>2.7535265594888347</c:v>
                  </c:pt>
                  <c:pt idx="7">
                    <c:v>2.6812209831470772</c:v>
                  </c:pt>
                  <c:pt idx="8">
                    <c:v>2.2969397641596458</c:v>
                  </c:pt>
                  <c:pt idx="9">
                    <c:v>2.3429377697267544</c:v>
                  </c:pt>
                  <c:pt idx="10">
                    <c:v>1.7300648684665303</c:v>
                  </c:pt>
                  <c:pt idx="11">
                    <c:v>1.755709114441026</c:v>
                  </c:pt>
                  <c:pt idx="12">
                    <c:v>1.0941686378411268</c:v>
                  </c:pt>
                  <c:pt idx="13">
                    <c:v>1.140181388493573</c:v>
                  </c:pt>
                  <c:pt idx="14">
                    <c:v>0.98092619318689067</c:v>
                  </c:pt>
                  <c:pt idx="15">
                    <c:v>0.72034271861841725</c:v>
                  </c:pt>
                  <c:pt idx="16">
                    <c:v>0.59591169806950051</c:v>
                  </c:pt>
                  <c:pt idx="17">
                    <c:v>0.41955770822431027</c:v>
                  </c:pt>
                  <c:pt idx="18">
                    <c:v>0.23361863591772447</c:v>
                  </c:pt>
                </c:numCache>
              </c:numRef>
            </c:plus>
            <c:minus>
              <c:numRef>
                <c:f>Cifra_oculta!$R$8:$R$26</c:f>
                <c:numCache>
                  <c:formatCode>General</c:formatCode>
                  <c:ptCount val="19"/>
                  <c:pt idx="0">
                    <c:v>3.6071330767572345</c:v>
                  </c:pt>
                  <c:pt idx="1">
                    <c:v>2.7767111459708156</c:v>
                  </c:pt>
                  <c:pt idx="2">
                    <c:v>3.0975466724790763</c:v>
                  </c:pt>
                  <c:pt idx="3">
                    <c:v>3.0686967879160063</c:v>
                  </c:pt>
                  <c:pt idx="4">
                    <c:v>2.524094077301668</c:v>
                  </c:pt>
                  <c:pt idx="5">
                    <c:v>3.2036062259007156</c:v>
                  </c:pt>
                  <c:pt idx="6">
                    <c:v>2.7535265594888347</c:v>
                  </c:pt>
                  <c:pt idx="7">
                    <c:v>2.6812209831470737</c:v>
                  </c:pt>
                  <c:pt idx="8">
                    <c:v>2.2969397641596467</c:v>
                  </c:pt>
                  <c:pt idx="9">
                    <c:v>2.3429377697267517</c:v>
                  </c:pt>
                  <c:pt idx="10">
                    <c:v>1.7300648684665312</c:v>
                  </c:pt>
                  <c:pt idx="11">
                    <c:v>1.7557091144410264</c:v>
                  </c:pt>
                  <c:pt idx="12">
                    <c:v>1.0941686378411264</c:v>
                  </c:pt>
                  <c:pt idx="13">
                    <c:v>1.1401813884935732</c:v>
                  </c:pt>
                  <c:pt idx="14">
                    <c:v>0.98092619318688934</c:v>
                  </c:pt>
                  <c:pt idx="15">
                    <c:v>0.72034271861841725</c:v>
                  </c:pt>
                  <c:pt idx="16">
                    <c:v>0.59591169806949973</c:v>
                  </c:pt>
                  <c:pt idx="17">
                    <c:v>0.41955770822431038</c:v>
                  </c:pt>
                  <c:pt idx="18">
                    <c:v>0.23361863591772442</c:v>
                  </c:pt>
                </c:numCache>
              </c:numRef>
            </c:minus>
            <c:spPr>
              <a:ln w="12700">
                <a:solidFill>
                  <a:srgbClr val="4B4B4B"/>
                </a:solidFill>
                <a:prstDash val="solid"/>
              </a:ln>
            </c:spPr>
          </c:errBars>
          <c:cat>
            <c:strRef>
              <c:f>Cifra_oculta!$C$8:$C$26</c:f>
              <c:strCache>
                <c:ptCount val="19"/>
                <c:pt idx="0">
                  <c:v>Bosa</c:v>
                </c:pt>
                <c:pt idx="1">
                  <c:v>Kennedy</c:v>
                </c:pt>
                <c:pt idx="2">
                  <c:v>San Cristóbal</c:v>
                </c:pt>
                <c:pt idx="3">
                  <c:v>Suba</c:v>
                </c:pt>
                <c:pt idx="4">
                  <c:v>Tunjuelito</c:v>
                </c:pt>
                <c:pt idx="5">
                  <c:v>Usme</c:v>
                </c:pt>
                <c:pt idx="6">
                  <c:v>Rafael Uribe Uribe</c:v>
                </c:pt>
                <c:pt idx="7">
                  <c:v>Ciudad Bolívar</c:v>
                </c:pt>
                <c:pt idx="8">
                  <c:v>Engativá</c:v>
                </c:pt>
                <c:pt idx="9">
                  <c:v>Usaquén</c:v>
                </c:pt>
                <c:pt idx="10">
                  <c:v>Puente Aranda</c:v>
                </c:pt>
                <c:pt idx="11">
                  <c:v>Fontibón</c:v>
                </c:pt>
                <c:pt idx="12">
                  <c:v>Teusaquillo</c:v>
                </c:pt>
                <c:pt idx="13">
                  <c:v>Antonio Nariño</c:v>
                </c:pt>
                <c:pt idx="14">
                  <c:v>Barrios Unidos</c:v>
                </c:pt>
                <c:pt idx="15">
                  <c:v>Chapinero</c:v>
                </c:pt>
                <c:pt idx="16">
                  <c:v>Santa Fe</c:v>
                </c:pt>
                <c:pt idx="17">
                  <c:v>La Candelaria</c:v>
                </c:pt>
                <c:pt idx="18">
                  <c:v>Los Mártires</c:v>
                </c:pt>
              </c:strCache>
            </c:strRef>
          </c:cat>
          <c:val>
            <c:numRef>
              <c:f>Cifra_oculta!$J$8:$J$26</c:f>
              <c:numCache>
                <c:formatCode>#,##0.0</c:formatCode>
                <c:ptCount val="19"/>
                <c:pt idx="0">
                  <c:v>10.649735292392734</c:v>
                </c:pt>
                <c:pt idx="1">
                  <c:v>9.0973414248795077</c:v>
                </c:pt>
                <c:pt idx="2">
                  <c:v>8.9541002814065394</c:v>
                </c:pt>
                <c:pt idx="3">
                  <c:v>8.2235694950140665</c:v>
                </c:pt>
                <c:pt idx="4">
                  <c:v>8.0404300692972193</c:v>
                </c:pt>
                <c:pt idx="5">
                  <c:v>7.576129731246092</c:v>
                </c:pt>
                <c:pt idx="6">
                  <c:v>7.2784890406709586</c:v>
                </c:pt>
                <c:pt idx="7">
                  <c:v>6.9554407554210114</c:v>
                </c:pt>
                <c:pt idx="8">
                  <c:v>6.2877268975486853</c:v>
                </c:pt>
                <c:pt idx="9">
                  <c:v>5.0879825060717989</c:v>
                </c:pt>
                <c:pt idx="10">
                  <c:v>4.9489666093186528</c:v>
                </c:pt>
                <c:pt idx="11">
                  <c:v>4.7234968986145311</c:v>
                </c:pt>
                <c:pt idx="12">
                  <c:v>3.7568940108318682</c:v>
                </c:pt>
                <c:pt idx="13">
                  <c:v>3.0103874405727304</c:v>
                </c:pt>
                <c:pt idx="14">
                  <c:v>2.4270283827689605</c:v>
                </c:pt>
                <c:pt idx="15">
                  <c:v>1.8577851113589419</c:v>
                </c:pt>
                <c:pt idx="16">
                  <c:v>1.5852551515915176</c:v>
                </c:pt>
                <c:pt idx="17">
                  <c:v>1.0475812461824443</c:v>
                </c:pt>
                <c:pt idx="18">
                  <c:v>0.7016073639974445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5E-443D-AED5-41BA8B5112EF}"/>
            </c:ext>
          </c:extLst>
        </c:ser>
        <c:dLbls>
          <c:showLegendKey val="0"/>
          <c:showVal val="0"/>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1"/>
        <c:ser>
          <c:idx val="0"/>
          <c:order val="0"/>
          <c:tx>
            <c:v>Localidades</c:v>
          </c:tx>
          <c:spPr>
            <a:ln>
              <a:noFill/>
              <a:prstDash val="solid"/>
            </a:ln>
          </c:spPr>
          <c:marker>
            <c:symbol val="circle"/>
            <c:size val="8"/>
            <c:spPr>
              <a:solidFill>
                <a:srgbClr val="BF0A00"/>
              </a:solidFill>
              <a:ln w="9525">
                <a:solidFill>
                  <a:srgbClr val="FFFFFF"/>
                </a:solidFill>
                <a:prstDash val="solid"/>
              </a:ln>
            </c:spPr>
          </c:marker>
          <c:xVal>
            <c:numRef>
              <c:f>Cifra_oculta!$M$8:$M$26</c:f>
              <c:numCache>
                <c:formatCode>\+0.00;"−"0.00;0.00</c:formatCode>
                <c:ptCount val="19"/>
                <c:pt idx="0">
                  <c:v>1.966110119407676</c:v>
                </c:pt>
                <c:pt idx="1">
                  <c:v>1.7169762806915718</c:v>
                </c:pt>
                <c:pt idx="2">
                  <c:v>1.5442032013914186</c:v>
                </c:pt>
                <c:pt idx="3">
                  <c:v>0.2317798284958752</c:v>
                </c:pt>
                <c:pt idx="4">
                  <c:v>-0.7007249488574292</c:v>
                </c:pt>
                <c:pt idx="5">
                  <c:v>2.6672309882365788</c:v>
                </c:pt>
                <c:pt idx="6">
                  <c:v>0.91107103998490713</c:v>
                </c:pt>
                <c:pt idx="7">
                  <c:v>2.3382983922558367</c:v>
                </c:pt>
                <c:pt idx="8">
                  <c:v>0.49807170408291068</c:v>
                </c:pt>
                <c:pt idx="9">
                  <c:v>-1.408767612728798</c:v>
                </c:pt>
                <c:pt idx="10">
                  <c:v>-0.69259324577938963</c:v>
                </c:pt>
                <c:pt idx="11">
                  <c:v>-1.6829249174135039</c:v>
                </c:pt>
                <c:pt idx="12">
                  <c:v>-2.0304983961382064</c:v>
                </c:pt>
                <c:pt idx="13">
                  <c:v>-0.31011027662841772</c:v>
                </c:pt>
                <c:pt idx="14">
                  <c:v>-0.7236455544608652</c:v>
                </c:pt>
                <c:pt idx="15">
                  <c:v>-0.97618727147690576</c:v>
                </c:pt>
                <c:pt idx="16">
                  <c:v>-0.38642357658119475</c:v>
                </c:pt>
                <c:pt idx="17">
                  <c:v>-0.84540390842906921</c:v>
                </c:pt>
                <c:pt idx="18">
                  <c:v>-2.116461846052986</c:v>
                </c:pt>
              </c:numCache>
            </c:numRef>
          </c:xVal>
          <c:yVal>
            <c:numRef>
              <c:f>Cifra_oculta!$J$8:$J$26</c:f>
              <c:numCache>
                <c:formatCode>#,##0.0</c:formatCode>
                <c:ptCount val="19"/>
                <c:pt idx="0">
                  <c:v>10.649735292392734</c:v>
                </c:pt>
                <c:pt idx="1">
                  <c:v>9.0973414248795077</c:v>
                </c:pt>
                <c:pt idx="2">
                  <c:v>8.9541002814065394</c:v>
                </c:pt>
                <c:pt idx="3">
                  <c:v>8.2235694950140665</c:v>
                </c:pt>
                <c:pt idx="4">
                  <c:v>8.0404300692972193</c:v>
                </c:pt>
                <c:pt idx="5">
                  <c:v>7.576129731246092</c:v>
                </c:pt>
                <c:pt idx="6">
                  <c:v>7.2784890406709586</c:v>
                </c:pt>
                <c:pt idx="7">
                  <c:v>6.9554407554210114</c:v>
                </c:pt>
                <c:pt idx="8">
                  <c:v>6.2877268975486853</c:v>
                </c:pt>
                <c:pt idx="9">
                  <c:v>5.0879825060717989</c:v>
                </c:pt>
                <c:pt idx="10">
                  <c:v>4.9489666093186528</c:v>
                </c:pt>
                <c:pt idx="11">
                  <c:v>4.7234968986145311</c:v>
                </c:pt>
                <c:pt idx="12">
                  <c:v>3.7568940108318682</c:v>
                </c:pt>
                <c:pt idx="13">
                  <c:v>3.0103874405727304</c:v>
                </c:pt>
                <c:pt idx="14">
                  <c:v>2.4270283827689605</c:v>
                </c:pt>
                <c:pt idx="15">
                  <c:v>1.8577851113589419</c:v>
                </c:pt>
                <c:pt idx="16">
                  <c:v>1.5852551515915176</c:v>
                </c:pt>
                <c:pt idx="17">
                  <c:v>1.0475812461824443</c:v>
                </c:pt>
                <c:pt idx="18">
                  <c:v>0.7016073639974445</c:v>
                </c:pt>
              </c:numCache>
            </c:numRef>
          </c:yVal>
          <c:smooth val="1"/>
          <c:extLst>
            <c:ext xmlns:c16="http://schemas.microsoft.com/office/drawing/2014/chart" uri="{C3380CC4-5D6E-409C-BE32-E72D297353CC}">
              <c16:uniqueId val="{00000000-DD94-4A9E-81A5-2A9D71704A59}"/>
            </c:ext>
          </c:extLst>
        </c:ser>
        <c:dLbls>
          <c:showLegendKey val="0"/>
          <c:showVal val="0"/>
          <c:showCatName val="0"/>
          <c:showSerName val="0"/>
          <c:showPercent val="0"/>
          <c:showBubbleSize val="0"/>
        </c:dLbls>
        <c:axId val="10"/>
        <c:axId val="20"/>
      </c:scatterChart>
      <c:valAx>
        <c:axId val="10"/>
        <c:scaling>
          <c:orientation val="minMax"/>
        </c:scaling>
        <c:delete val="0"/>
        <c:axPos val="b"/>
        <c:numFmt formatCode="\+0;\−0;0" sourceLinked="0"/>
        <c:majorTickMark val="none"/>
        <c:minorTickMark val="none"/>
        <c:tickLblPos val="nextTo"/>
        <c:spPr>
          <a:ln w="9525">
            <a:solidFill>
              <a:srgbClr val="BFBFBF"/>
            </a:solidFill>
            <a:prstDash val="solid"/>
          </a:ln>
        </c:spPr>
        <c:txPr>
          <a:bodyPr/>
          <a:lstStyle/>
          <a:p>
            <a:pPr>
              <a:defRPr sz="900" b="0">
                <a:solidFill>
                  <a:srgbClr val="4B4B4B"/>
                </a:solidFill>
                <a:latin typeface="Segoe UI"/>
              </a:defRPr>
            </a:pPr>
            <a:endParaRPr lang="en-US"/>
          </a:p>
        </c:txPr>
        <c:crossAx val="20"/>
        <c:crosses val="autoZero"/>
        <c:crossBetween val="midCat"/>
      </c:valAx>
      <c:valAx>
        <c:axId val="20"/>
        <c:scaling>
          <c:orientation val="minMax"/>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midCat"/>
      </c:valAx>
    </c:plotArea>
    <c:plotVisOnly val="1"/>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Efecto marginal (pp)</c:v>
          </c:tx>
          <c:spPr>
            <a:ln>
              <a:prstDash val="solid"/>
            </a:ln>
          </c:spPr>
          <c:invertIfNegative val="0"/>
          <c:dPt>
            <c:idx val="0"/>
            <c:invertIfNegative val="0"/>
            <c:bubble3D val="0"/>
            <c:spPr>
              <a:solidFill>
                <a:srgbClr val="C8C8C8"/>
              </a:solidFill>
              <a:ln>
                <a:noFill/>
                <a:prstDash val="solid"/>
              </a:ln>
            </c:spPr>
            <c:extLst>
              <c:ext xmlns:c16="http://schemas.microsoft.com/office/drawing/2014/chart" uri="{C3380CC4-5D6E-409C-BE32-E72D297353CC}">
                <c16:uniqueId val="{00000001-5FE6-4DF5-B14E-A7F1093F5B0A}"/>
              </c:ext>
            </c:extLst>
          </c:dPt>
          <c:dPt>
            <c:idx val="1"/>
            <c:invertIfNegative val="0"/>
            <c:bubble3D val="0"/>
            <c:spPr>
              <a:solidFill>
                <a:srgbClr val="C8C8C8"/>
              </a:solidFill>
              <a:ln>
                <a:noFill/>
                <a:prstDash val="solid"/>
              </a:ln>
            </c:spPr>
            <c:extLst>
              <c:ext xmlns:c16="http://schemas.microsoft.com/office/drawing/2014/chart" uri="{C3380CC4-5D6E-409C-BE32-E72D297353CC}">
                <c16:uniqueId val="{00000003-5FE6-4DF5-B14E-A7F1093F5B0A}"/>
              </c:ext>
            </c:extLst>
          </c:dPt>
          <c:dPt>
            <c:idx val="2"/>
            <c:invertIfNegative val="0"/>
            <c:bubble3D val="0"/>
            <c:spPr>
              <a:solidFill>
                <a:srgbClr val="D99A16"/>
              </a:solidFill>
              <a:ln>
                <a:noFill/>
                <a:prstDash val="solid"/>
              </a:ln>
            </c:spPr>
            <c:extLst>
              <c:ext xmlns:c16="http://schemas.microsoft.com/office/drawing/2014/chart" uri="{C3380CC4-5D6E-409C-BE32-E72D297353CC}">
                <c16:uniqueId val="{00000005-5FE6-4DF5-B14E-A7F1093F5B0A}"/>
              </c:ext>
            </c:extLst>
          </c:dPt>
          <c:dPt>
            <c:idx val="3"/>
            <c:invertIfNegative val="0"/>
            <c:bubble3D val="0"/>
            <c:spPr>
              <a:solidFill>
                <a:srgbClr val="C8C8C8"/>
              </a:solidFill>
              <a:ln>
                <a:noFill/>
                <a:prstDash val="solid"/>
              </a:ln>
            </c:spPr>
            <c:extLst>
              <c:ext xmlns:c16="http://schemas.microsoft.com/office/drawing/2014/chart" uri="{C3380CC4-5D6E-409C-BE32-E72D297353CC}">
                <c16:uniqueId val="{00000007-5FE6-4DF5-B14E-A7F1093F5B0A}"/>
              </c:ext>
            </c:extLst>
          </c:dPt>
          <c:dPt>
            <c:idx val="4"/>
            <c:invertIfNegative val="0"/>
            <c:bubble3D val="0"/>
            <c:spPr>
              <a:solidFill>
                <a:srgbClr val="C8C8C8"/>
              </a:solidFill>
              <a:ln>
                <a:noFill/>
                <a:prstDash val="solid"/>
              </a:ln>
            </c:spPr>
            <c:extLst>
              <c:ext xmlns:c16="http://schemas.microsoft.com/office/drawing/2014/chart" uri="{C3380CC4-5D6E-409C-BE32-E72D297353CC}">
                <c16:uniqueId val="{00000009-5FE6-4DF5-B14E-A7F1093F5B0A}"/>
              </c:ext>
            </c:extLst>
          </c:dPt>
          <c:dPt>
            <c:idx val="5"/>
            <c:invertIfNegative val="0"/>
            <c:bubble3D val="0"/>
            <c:spPr>
              <a:solidFill>
                <a:srgbClr val="D99A16"/>
              </a:solidFill>
              <a:ln>
                <a:noFill/>
                <a:prstDash val="solid"/>
              </a:ln>
            </c:spPr>
            <c:extLst>
              <c:ext xmlns:c16="http://schemas.microsoft.com/office/drawing/2014/chart" uri="{C3380CC4-5D6E-409C-BE32-E72D297353CC}">
                <c16:uniqueId val="{0000000B-5FE6-4DF5-B14E-A7F1093F5B0A}"/>
              </c:ext>
            </c:extLst>
          </c:dPt>
          <c:dPt>
            <c:idx val="6"/>
            <c:invertIfNegative val="0"/>
            <c:bubble3D val="0"/>
            <c:spPr>
              <a:solidFill>
                <a:srgbClr val="C8C8C8"/>
              </a:solidFill>
              <a:ln>
                <a:noFill/>
                <a:prstDash val="solid"/>
              </a:ln>
            </c:spPr>
            <c:extLst>
              <c:ext xmlns:c16="http://schemas.microsoft.com/office/drawing/2014/chart" uri="{C3380CC4-5D6E-409C-BE32-E72D297353CC}">
                <c16:uniqueId val="{0000000D-5FE6-4DF5-B14E-A7F1093F5B0A}"/>
              </c:ext>
            </c:extLst>
          </c:dPt>
          <c:dPt>
            <c:idx val="7"/>
            <c:invertIfNegative val="0"/>
            <c:bubble3D val="0"/>
            <c:spPr>
              <a:solidFill>
                <a:srgbClr val="D99A16"/>
              </a:solidFill>
              <a:ln>
                <a:noFill/>
                <a:prstDash val="solid"/>
              </a:ln>
            </c:spPr>
            <c:extLst>
              <c:ext xmlns:c16="http://schemas.microsoft.com/office/drawing/2014/chart" uri="{C3380CC4-5D6E-409C-BE32-E72D297353CC}">
                <c16:uniqueId val="{0000000F-5FE6-4DF5-B14E-A7F1093F5B0A}"/>
              </c:ext>
            </c:extLst>
          </c:dPt>
          <c:dPt>
            <c:idx val="8"/>
            <c:invertIfNegative val="0"/>
            <c:bubble3D val="0"/>
            <c:spPr>
              <a:solidFill>
                <a:srgbClr val="C8C8C8"/>
              </a:solidFill>
              <a:ln>
                <a:noFill/>
                <a:prstDash val="solid"/>
              </a:ln>
            </c:spPr>
            <c:extLst>
              <c:ext xmlns:c16="http://schemas.microsoft.com/office/drawing/2014/chart" uri="{C3380CC4-5D6E-409C-BE32-E72D297353CC}">
                <c16:uniqueId val="{00000011-5FE6-4DF5-B14E-A7F1093F5B0A}"/>
              </c:ext>
            </c:extLst>
          </c:dPt>
          <c:dPt>
            <c:idx val="9"/>
            <c:invertIfNegative val="0"/>
            <c:bubble3D val="0"/>
            <c:spPr>
              <a:solidFill>
                <a:srgbClr val="D99A16"/>
              </a:solidFill>
              <a:ln>
                <a:noFill/>
                <a:prstDash val="solid"/>
              </a:ln>
            </c:spPr>
            <c:extLst>
              <c:ext xmlns:c16="http://schemas.microsoft.com/office/drawing/2014/chart" uri="{C3380CC4-5D6E-409C-BE32-E72D297353CC}">
                <c16:uniqueId val="{00000013-5FE6-4DF5-B14E-A7F1093F5B0A}"/>
              </c:ext>
            </c:extLst>
          </c:dPt>
          <c:dPt>
            <c:idx val="10"/>
            <c:invertIfNegative val="0"/>
            <c:bubble3D val="0"/>
            <c:spPr>
              <a:solidFill>
                <a:srgbClr val="C8C8C8"/>
              </a:solidFill>
              <a:ln>
                <a:noFill/>
                <a:prstDash val="solid"/>
              </a:ln>
            </c:spPr>
            <c:extLst>
              <c:ext xmlns:c16="http://schemas.microsoft.com/office/drawing/2014/chart" uri="{C3380CC4-5D6E-409C-BE32-E72D297353CC}">
                <c16:uniqueId val="{00000015-5FE6-4DF5-B14E-A7F1093F5B0A}"/>
              </c:ext>
            </c:extLst>
          </c:dPt>
          <c:dPt>
            <c:idx val="11"/>
            <c:invertIfNegative val="0"/>
            <c:bubble3D val="0"/>
            <c:spPr>
              <a:solidFill>
                <a:srgbClr val="D99A16"/>
              </a:solidFill>
              <a:ln>
                <a:noFill/>
                <a:prstDash val="solid"/>
              </a:ln>
            </c:spPr>
            <c:extLst>
              <c:ext xmlns:c16="http://schemas.microsoft.com/office/drawing/2014/chart" uri="{C3380CC4-5D6E-409C-BE32-E72D297353CC}">
                <c16:uniqueId val="{00000017-5FE6-4DF5-B14E-A7F1093F5B0A}"/>
              </c:ext>
            </c:extLst>
          </c:dPt>
          <c:errBars>
            <c:errBarType val="both"/>
            <c:errValType val="cust"/>
            <c:noEndCap val="0"/>
            <c:plus>
              <c:numRef>
                <c:f>Modelos!$S$11:$S$22</c:f>
                <c:numCache>
                  <c:formatCode>General</c:formatCode>
                  <c:ptCount val="12"/>
                  <c:pt idx="0">
                    <c:v>4.4244446135741731</c:v>
                  </c:pt>
                  <c:pt idx="1">
                    <c:v>0.15691677507046209</c:v>
                  </c:pt>
                  <c:pt idx="2">
                    <c:v>4.7555624670800887</c:v>
                  </c:pt>
                  <c:pt idx="3">
                    <c:v>5.2642256897436379</c:v>
                  </c:pt>
                  <c:pt idx="4">
                    <c:v>1.844650953039265</c:v>
                  </c:pt>
                  <c:pt idx="5">
                    <c:v>0.84394603657206357</c:v>
                  </c:pt>
                  <c:pt idx="6">
                    <c:v>2.3828932136787553</c:v>
                  </c:pt>
                  <c:pt idx="7">
                    <c:v>4.2133691324495608</c:v>
                  </c:pt>
                  <c:pt idx="8">
                    <c:v>6.8453087328777595</c:v>
                  </c:pt>
                  <c:pt idx="9">
                    <c:v>4.2381338292257258</c:v>
                  </c:pt>
                  <c:pt idx="10">
                    <c:v>6.5124094366301097</c:v>
                  </c:pt>
                  <c:pt idx="11">
                    <c:v>9.1049008903709421</c:v>
                  </c:pt>
                </c:numCache>
              </c:numRef>
            </c:plus>
            <c:minus>
              <c:numRef>
                <c:f>Modelos!$T$11:$T$22</c:f>
                <c:numCache>
                  <c:formatCode>General</c:formatCode>
                  <c:ptCount val="12"/>
                  <c:pt idx="0">
                    <c:v>3.5636457597116316</c:v>
                  </c:pt>
                  <c:pt idx="1">
                    <c:v>0.1848625718291115</c:v>
                  </c:pt>
                  <c:pt idx="2">
                    <c:v>2.3222268613989439</c:v>
                  </c:pt>
                  <c:pt idx="3">
                    <c:v>4.8481125142247299</c:v>
                  </c:pt>
                  <c:pt idx="4">
                    <c:v>5.5049048089930244</c:v>
                  </c:pt>
                  <c:pt idx="5">
                    <c:v>0.4542452361758812</c:v>
                  </c:pt>
                  <c:pt idx="6">
                    <c:v>1.6044728487088458</c:v>
                  </c:pt>
                  <c:pt idx="7">
                    <c:v>7.0694799029754813</c:v>
                  </c:pt>
                  <c:pt idx="8">
                    <c:v>4.5331986949997152</c:v>
                  </c:pt>
                  <c:pt idx="9">
                    <c:v>5.8510826634699216</c:v>
                  </c:pt>
                  <c:pt idx="10">
                    <c:v>4.8338956388058829</c:v>
                  </c:pt>
                  <c:pt idx="11">
                    <c:v>10.8291117785572</c:v>
                  </c:pt>
                </c:numCache>
              </c:numRef>
            </c:minus>
            <c:spPr>
              <a:ln w="12700">
                <a:solidFill>
                  <a:srgbClr val="4B4B4B"/>
                </a:solidFill>
                <a:prstDash val="solid"/>
              </a:ln>
            </c:spPr>
          </c:errBars>
          <c:cat>
            <c:strRef>
              <c:f>Modelos!$B$11:$B$22</c:f>
              <c:strCache>
                <c:ptCount val="12"/>
                <c:pt idx="0">
                  <c:v>Ser mujer</c:v>
                </c:pt>
                <c:pt idx="1">
                  <c:v>Edad (por año)</c:v>
                </c:pt>
                <c:pt idx="2">
                  <c:v>Estrato (por nivel)</c:v>
                </c:pt>
                <c:pt idx="3">
                  <c:v>Vive en arriendo</c:v>
                </c:pt>
                <c:pt idx="4">
                  <c:v>Hurtos en la localidad (+1.000 por 100 mil)</c:v>
                </c:pt>
                <c:pt idx="5">
                  <c:v>Homicidios en la localidad (+1 por 100 mil)</c:v>
                </c:pt>
                <c:pt idx="6">
                  <c:v>Llamadas 123 por narcóticos (+100 por 100 mil)</c:v>
                </c:pt>
                <c:pt idx="7">
                  <c:v>Atracos en el parque más cercano</c:v>
                </c:pt>
                <c:pt idx="8">
                  <c:v>Venta o consumo de drogas en el parque</c:v>
                </c:pt>
                <c:pt idx="9">
                  <c:v>No tiene parque cerca</c:v>
                </c:pt>
                <c:pt idx="10">
                  <c:v>Presenció acoso a mujeres</c:v>
                </c:pt>
                <c:pt idx="11">
                  <c:v>Conflictos vecinales (de ninguno a todos)</c:v>
                </c:pt>
              </c:strCache>
            </c:strRef>
          </c:cat>
          <c:val>
            <c:numRef>
              <c:f>Modelos!$D$11:$D$22</c:f>
              <c:numCache>
                <c:formatCode>\+0.00" pp";"−"0.00" pp";0.00" pp"</c:formatCode>
                <c:ptCount val="12"/>
                <c:pt idx="0">
                  <c:v>-1.0746395942024931</c:v>
                </c:pt>
                <c:pt idx="1">
                  <c:v>2.6058981057486798E-2</c:v>
                </c:pt>
                <c:pt idx="2">
                  <c:v>-8.1688440081980769</c:v>
                </c:pt>
                <c:pt idx="3">
                  <c:v>1.7524959269907161</c:v>
                </c:pt>
                <c:pt idx="4">
                  <c:v>-0.10480581797991211</c:v>
                </c:pt>
                <c:pt idx="5">
                  <c:v>0.46964279940151232</c:v>
                </c:pt>
                <c:pt idx="6">
                  <c:v>-0.35314969903606419</c:v>
                </c:pt>
                <c:pt idx="7">
                  <c:v>13.28718212898994</c:v>
                </c:pt>
                <c:pt idx="8">
                  <c:v>-2.870836454563146</c:v>
                </c:pt>
                <c:pt idx="9">
                  <c:v>-6.8802082327944687</c:v>
                </c:pt>
                <c:pt idx="10">
                  <c:v>2.706978625157078</c:v>
                </c:pt>
                <c:pt idx="11">
                  <c:v>14.689477533559799</c:v>
                </c:pt>
              </c:numCache>
            </c:numRef>
          </c:val>
          <c:extLst>
            <c:ext xmlns:c16="http://schemas.microsoft.com/office/drawing/2014/chart" uri="{C3380CC4-5D6E-409C-BE32-E72D297353CC}">
              <c16:uniqueId val="{00000018-5FE6-4DF5-B14E-A7F1093F5B0A}"/>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AUC</c:v>
          </c:tx>
          <c:spPr>
            <a:ln>
              <a:prstDash val="solid"/>
            </a:ln>
          </c:spPr>
          <c:invertIfNegative val="1"/>
          <c:dPt>
            <c:idx val="0"/>
            <c:invertIfNegative val="0"/>
            <c:bubble3D val="0"/>
            <c:spPr>
              <a:solidFill>
                <a:srgbClr val="B5B5B5"/>
              </a:solidFill>
              <a:ln>
                <a:noFill/>
                <a:prstDash val="solid"/>
              </a:ln>
            </c:spPr>
            <c:extLst>
              <c:ext xmlns:c16="http://schemas.microsoft.com/office/drawing/2014/chart" uri="{C3380CC4-5D6E-409C-BE32-E72D297353CC}">
                <c16:uniqueId val="{00000001-8656-4251-92A1-0A21D4A3A142}"/>
              </c:ext>
            </c:extLst>
          </c:dPt>
          <c:dPt>
            <c:idx val="1"/>
            <c:invertIfNegative val="0"/>
            <c:bubble3D val="0"/>
            <c:spPr>
              <a:solidFill>
                <a:srgbClr val="3366CC"/>
              </a:solidFill>
              <a:ln>
                <a:noFill/>
                <a:prstDash val="solid"/>
              </a:ln>
            </c:spPr>
            <c:extLst>
              <c:ext xmlns:c16="http://schemas.microsoft.com/office/drawing/2014/chart" uri="{C3380CC4-5D6E-409C-BE32-E72D297353CC}">
                <c16:uniqueId val="{00000003-8656-4251-92A1-0A21D4A3A142}"/>
              </c:ext>
            </c:extLst>
          </c:dPt>
          <c:dPt>
            <c:idx val="2"/>
            <c:invertIfNegative val="0"/>
            <c:bubble3D val="0"/>
            <c:spPr>
              <a:solidFill>
                <a:srgbClr val="F0BF4F"/>
              </a:solidFill>
              <a:ln>
                <a:noFill/>
                <a:prstDash val="solid"/>
              </a:ln>
            </c:spPr>
            <c:extLst>
              <c:ext xmlns:c16="http://schemas.microsoft.com/office/drawing/2014/chart" uri="{C3380CC4-5D6E-409C-BE32-E72D297353CC}">
                <c16:uniqueId val="{00000005-8656-4251-92A1-0A21D4A3A142}"/>
              </c:ext>
            </c:extLst>
          </c:dPt>
          <c:dPt>
            <c:idx val="3"/>
            <c:invertIfNegative val="0"/>
            <c:bubble3D val="0"/>
            <c:spPr>
              <a:solidFill>
                <a:srgbClr val="F0BF4F"/>
              </a:solidFill>
              <a:ln>
                <a:noFill/>
                <a:prstDash val="solid"/>
              </a:ln>
            </c:spPr>
            <c:extLst>
              <c:ext xmlns:c16="http://schemas.microsoft.com/office/drawing/2014/chart" uri="{C3380CC4-5D6E-409C-BE32-E72D297353CC}">
                <c16:uniqueId val="{00000007-8656-4251-92A1-0A21D4A3A142}"/>
              </c:ext>
            </c:extLst>
          </c:dPt>
          <c:dPt>
            <c:idx val="4"/>
            <c:invertIfNegative val="0"/>
            <c:bubble3D val="0"/>
            <c:spPr>
              <a:solidFill>
                <a:srgbClr val="D99A16"/>
              </a:solidFill>
              <a:ln>
                <a:noFill/>
                <a:prstDash val="solid"/>
              </a:ln>
            </c:spPr>
            <c:extLst>
              <c:ext xmlns:c16="http://schemas.microsoft.com/office/drawing/2014/chart" uri="{C3380CC4-5D6E-409C-BE32-E72D297353CC}">
                <c16:uniqueId val="{00000009-8656-4251-92A1-0A21D4A3A142}"/>
              </c:ext>
            </c:extLst>
          </c:dPt>
          <c:dPt>
            <c:idx val="5"/>
            <c:invertIfNegative val="0"/>
            <c:bubble3D val="0"/>
            <c:spPr>
              <a:solidFill>
                <a:srgbClr val="BF0A00"/>
              </a:solidFill>
              <a:ln>
                <a:noFill/>
                <a:prstDash val="solid"/>
              </a:ln>
            </c:spPr>
            <c:extLst>
              <c:ext xmlns:c16="http://schemas.microsoft.com/office/drawing/2014/chart" uri="{C3380CC4-5D6E-409C-BE32-E72D297353CC}">
                <c16:uniqueId val="{0000000B-8656-4251-92A1-0A21D4A3A142}"/>
              </c:ext>
            </c:extLst>
          </c:dPt>
          <c:dLbls>
            <c:spPr>
              <a:noFill/>
              <a:ln>
                <a:noFill/>
              </a:ln>
              <a:effectLst/>
            </c:spPr>
            <c:txPr>
              <a:bodyPr/>
              <a:lstStyle/>
              <a:p>
                <a:pPr>
                  <a:defRPr sz="85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Modelos!$B$99:$B$104</c:f>
              <c:strCache>
                <c:ptCount val="6"/>
                <c:pt idx="0">
                  <c:v>Perfil (sexo, edad, estrato, tenencia)</c:v>
                </c:pt>
                <c:pt idx="1">
                  <c:v>Perfil + delito registrado</c:v>
                </c:pt>
                <c:pt idx="2">
                  <c:v>Perfil + hechos del entorno</c:v>
                </c:pt>
                <c:pt idx="3">
                  <c:v>Perfil + hechos + delito</c:v>
                </c:pt>
                <c:pt idx="4">
                  <c:v>Perfil + calificación del entorno</c:v>
                </c:pt>
                <c:pt idx="5">
                  <c:v>Todo</c:v>
                </c:pt>
              </c:strCache>
            </c:strRef>
          </c:cat>
          <c:val>
            <c:numRef>
              <c:f>Modelos!$D$99:$D$104</c:f>
              <c:numCache>
                <c:formatCode>0.000</c:formatCode>
                <c:ptCount val="6"/>
                <c:pt idx="0">
                  <c:v>0.60857857206665189</c:v>
                </c:pt>
                <c:pt idx="1">
                  <c:v>0.61132599309468094</c:v>
                </c:pt>
                <c:pt idx="2">
                  <c:v>0.65462771238238304</c:v>
                </c:pt>
                <c:pt idx="3">
                  <c:v>0.65644797939783128</c:v>
                </c:pt>
                <c:pt idx="4">
                  <c:v>0.75482084489177625</c:v>
                </c:pt>
                <c:pt idx="5">
                  <c:v>0.78249761812761076</c:v>
                </c:pt>
              </c:numCache>
            </c:numRef>
          </c:val>
          <c:extLst>
            <c:ext xmlns:c16="http://schemas.microsoft.com/office/drawing/2014/chart" uri="{C3380CC4-5D6E-409C-BE32-E72D297353CC}">
              <c16:uniqueId val="{0000000C-8656-4251-92A1-0A21D4A3A142}"/>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0.8"/>
          <c:min val="0.5"/>
        </c:scaling>
        <c:delete val="0"/>
        <c:axPos val="b"/>
        <c:majorGridlines>
          <c:spPr>
            <a:ln w="6350">
              <a:solidFill>
                <a:srgbClr val="E3E3E3"/>
              </a:solidFill>
              <a:prstDash val="solid"/>
            </a:ln>
          </c:spPr>
        </c:majorGridlines>
        <c:numFmt formatCode="0.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majorUnit val="0.05"/>
      </c:valAx>
    </c:plotArea>
    <c:plotVisOnly val="1"/>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Mujeres</c:v>
          </c:tx>
          <c:spPr>
            <a:solidFill>
              <a:srgbClr val="8E44C8"/>
            </a:solidFill>
            <a:ln>
              <a:noFill/>
              <a:prstDash val="solid"/>
            </a:ln>
          </c:spPr>
          <c:invertIfNegative val="1"/>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Genero!$B$9:$B$12</c:f>
              <c:strCache>
                <c:ptCount val="4"/>
                <c:pt idx="0">
                  <c:v>Fue víctima de un delito (último año)</c:v>
                </c:pt>
                <c:pt idx="1">
                  <c:v>No sale de noche</c:v>
                </c:pt>
                <c:pt idx="2">
                  <c:v>Teme acoso sexual</c:v>
                </c:pt>
                <c:pt idx="3">
                  <c:v>Siente inseguro su barrio</c:v>
                </c:pt>
              </c:strCache>
            </c:strRef>
          </c:cat>
          <c:val>
            <c:numRef>
              <c:f>Genero!$C$9:$C$12</c:f>
              <c:numCache>
                <c:formatCode>0.0%</c:formatCode>
                <c:ptCount val="4"/>
                <c:pt idx="0">
                  <c:v>0.20599999999999999</c:v>
                </c:pt>
                <c:pt idx="1">
                  <c:v>0.63500000000000001</c:v>
                </c:pt>
                <c:pt idx="2">
                  <c:v>0.71900000000000008</c:v>
                </c:pt>
                <c:pt idx="3">
                  <c:v>0.59200000000000008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B61-4AF9-91F5-C002F6A248C5}"/>
            </c:ext>
          </c:extLst>
        </c:ser>
        <c:ser>
          <c:idx val="1"/>
          <c:order val="1"/>
          <c:tx>
            <c:v>Hombres</c:v>
          </c:tx>
          <c:spPr>
            <a:solidFill>
              <a:srgbClr val="2A9D4B"/>
            </a:solidFill>
            <a:ln>
              <a:noFill/>
              <a:prstDash val="solid"/>
            </a:ln>
          </c:spPr>
          <c:invertIfNegative val="1"/>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Genero!$B$9:$B$12</c:f>
              <c:strCache>
                <c:ptCount val="4"/>
                <c:pt idx="0">
                  <c:v>Fue víctima de un delito (último año)</c:v>
                </c:pt>
                <c:pt idx="1">
                  <c:v>No sale de noche</c:v>
                </c:pt>
                <c:pt idx="2">
                  <c:v>Teme acoso sexual</c:v>
                </c:pt>
                <c:pt idx="3">
                  <c:v>Siente inseguro su barrio</c:v>
                </c:pt>
              </c:strCache>
            </c:strRef>
          </c:cat>
          <c:val>
            <c:numRef>
              <c:f>Genero!$D$9:$D$12</c:f>
              <c:numCache>
                <c:formatCode>0.0%</c:formatCode>
                <c:ptCount val="4"/>
                <c:pt idx="0">
                  <c:v>0.28399999999999997</c:v>
                </c:pt>
                <c:pt idx="1">
                  <c:v>0.57200000000000006</c:v>
                </c:pt>
                <c:pt idx="2">
                  <c:v>0.53900000000000003</c:v>
                </c:pt>
                <c:pt idx="3">
                  <c:v>0.51800000000000002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B61-4AF9-91F5-C002F6A248C5}"/>
            </c:ext>
          </c:extLst>
        </c:ser>
        <c:dLbls>
          <c:showLegendKey val="0"/>
          <c:showVal val="0"/>
          <c:showCatName val="0"/>
          <c:showSerName val="0"/>
          <c:showPercent val="0"/>
          <c:showBubbleSize val="0"/>
        </c:dLbls>
        <c:gapWidth val="70"/>
        <c:overlap val="-5"/>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0.8"/>
          <c:min val="0"/>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legend>
      <c:legendPos val="t"/>
      <c:overlay val="0"/>
      <c:txPr>
        <a:bodyPr/>
        <a:lstStyle/>
        <a:p>
          <a:pPr>
            <a:defRPr sz="900" b="0">
              <a:solidFill>
                <a:srgbClr val="1E1E1E"/>
              </a:solidFill>
              <a:latin typeface="Segoe UI"/>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Efecto de ser mujer</c:v>
          </c:tx>
          <c:spPr>
            <a:solidFill>
              <a:srgbClr val="8E44C8"/>
            </a:solidFill>
            <a:ln>
              <a:noFill/>
              <a:prstDash val="solid"/>
            </a:ln>
          </c:spPr>
          <c:invertIfNegative val="1"/>
          <c:errBars>
            <c:errBarType val="both"/>
            <c:errValType val="cust"/>
            <c:noEndCap val="0"/>
            <c:plus>
              <c:numRef>
                <c:f>Genero!$L$10:$L$12</c:f>
                <c:numCache>
                  <c:formatCode>General</c:formatCode>
                  <c:ptCount val="3"/>
                  <c:pt idx="0">
                    <c:v>5.0358310700628284</c:v>
                  </c:pt>
                  <c:pt idx="1">
                    <c:v>5.4122386834672191</c:v>
                  </c:pt>
                  <c:pt idx="2">
                    <c:v>4.6107539551413801</c:v>
                  </c:pt>
                </c:numCache>
              </c:numRef>
            </c:plus>
            <c:minus>
              <c:numRef>
                <c:f>Genero!$M$10:$M$12</c:f>
                <c:numCache>
                  <c:formatCode>General</c:formatCode>
                  <c:ptCount val="3"/>
                  <c:pt idx="0">
                    <c:v>5.5086793138201715</c:v>
                  </c:pt>
                  <c:pt idx="1">
                    <c:v>5.1363885822655604</c:v>
                  </c:pt>
                  <c:pt idx="2">
                    <c:v>4.2321654938640689</c:v>
                  </c:pt>
                </c:numCache>
              </c:numRef>
            </c:minus>
            <c:spPr>
              <a:ln w="12700">
                <a:solidFill>
                  <a:srgbClr val="4B4B4B"/>
                </a:solidFill>
                <a:prstDash val="solid"/>
              </a:ln>
            </c:spPr>
          </c:errBars>
          <c:cat>
            <c:strRef>
              <c:f>Genero!$B$10:$B$12</c:f>
              <c:strCache>
                <c:ptCount val="3"/>
                <c:pt idx="0">
                  <c:v>No sale de noche</c:v>
                </c:pt>
                <c:pt idx="1">
                  <c:v>Teme acoso sexual</c:v>
                </c:pt>
                <c:pt idx="2">
                  <c:v>Siente inseguro su barrio</c:v>
                </c:pt>
              </c:strCache>
            </c:strRef>
          </c:cat>
          <c:val>
            <c:numRef>
              <c:f>Genero!$F$10:$F$12</c:f>
              <c:numCache>
                <c:formatCode>\+0.0" pp";"−"0.0" pp";0.0" pp"</c:formatCode>
                <c:ptCount val="3"/>
                <c:pt idx="0">
                  <c:v>6.4682899567040124</c:v>
                </c:pt>
                <c:pt idx="1">
                  <c:v>18.01970515501932</c:v>
                </c:pt>
                <c:pt idx="2">
                  <c:v>9.2810294480686597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C4E-45C8-856B-14F39DB48567}"/>
            </c:ext>
          </c:extLst>
        </c:ser>
        <c:dLbls>
          <c:showLegendKey val="0"/>
          <c:showVal val="0"/>
          <c:showCatName val="0"/>
          <c:showSerName val="0"/>
          <c:showPercent val="0"/>
          <c:showBubbleSize val="0"/>
        </c:dLbls>
        <c:gapWidth val="90"/>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in val="0"/>
        </c:scaling>
        <c:delete val="0"/>
        <c:axPos val="l"/>
        <c:majorGridlines>
          <c:spPr>
            <a:ln w="6350">
              <a:solidFill>
                <a:srgbClr val="E3E3E3"/>
              </a:solidFill>
              <a:prstDash val="solid"/>
            </a:ln>
          </c:spPr>
        </c:majorGridlines>
        <c:numFmt formatCode="\+0&quot; pp&quot;;&quot;−&quot;0&quot; pp&quot;;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lineChart>
        <c:grouping val="standard"/>
        <c:varyColors val="1"/>
        <c:ser>
          <c:idx val="0"/>
          <c:order val="0"/>
          <c:tx>
            <c:strRef>
              <c:f>Serie_delitos!$C$45</c:f>
              <c:strCache>
                <c:ptCount val="1"/>
                <c:pt idx="0">
                  <c:v>Hurto a personas</c:v>
                </c:pt>
              </c:strCache>
            </c:strRef>
          </c:tx>
          <c:spPr>
            <a:ln w="31750">
              <a:solidFill>
                <a:srgbClr val="3366CC"/>
              </a:solidFill>
              <a:prstDash val="solid"/>
            </a:ln>
          </c:spPr>
          <c:marker>
            <c:symbol val="circle"/>
            <c:size val="6"/>
            <c:spPr>
              <a:solidFill>
                <a:srgbClr val="3366CC"/>
              </a:solidFill>
              <a:ln w="12700">
                <a:solidFill>
                  <a:srgbClr val="3366CC"/>
                </a:solidFill>
                <a:prstDash val="solid"/>
              </a:ln>
            </c:spPr>
          </c:marker>
          <c:cat>
            <c:strRef>
              <c:f>Serie_delitos!$D$44:$L$44</c:f>
              <c:strCache>
                <c:ptCount val="9"/>
                <c:pt idx="0">
                  <c:v>2018</c:v>
                </c:pt>
                <c:pt idx="1">
                  <c:v>2019</c:v>
                </c:pt>
                <c:pt idx="2">
                  <c:v>2020</c:v>
                </c:pt>
                <c:pt idx="3">
                  <c:v>2021</c:v>
                </c:pt>
                <c:pt idx="4">
                  <c:v>2022</c:v>
                </c:pt>
                <c:pt idx="5">
                  <c:v>2023</c:v>
                </c:pt>
                <c:pt idx="6">
                  <c:v>2024</c:v>
                </c:pt>
                <c:pt idx="7">
                  <c:v>2025</c:v>
                </c:pt>
                <c:pt idx="8">
                  <c:v>2026</c:v>
                </c:pt>
              </c:strCache>
            </c:strRef>
          </c:cat>
          <c:val>
            <c:numRef>
              <c:f>Serie_delitos!$D$45:$L$45</c:f>
              <c:numCache>
                <c:formatCode>0.0</c:formatCode>
                <c:ptCount val="9"/>
                <c:pt idx="0">
                  <c:v>100</c:v>
                </c:pt>
                <c:pt idx="1">
                  <c:v>123.46447811348908</c:v>
                </c:pt>
                <c:pt idx="2">
                  <c:v>75.347052914187017</c:v>
                </c:pt>
                <c:pt idx="3">
                  <c:v>93.49426327260764</c:v>
                </c:pt>
                <c:pt idx="4">
                  <c:v>104.88370863417127</c:v>
                </c:pt>
                <c:pt idx="5">
                  <c:v>62.705103425587041</c:v>
                </c:pt>
                <c:pt idx="6">
                  <c:v>50.478501224892639</c:v>
                </c:pt>
                <c:pt idx="7">
                  <c:v>49.48037528125532</c:v>
                </c:pt>
                <c:pt idx="8">
                  <c:v>43.216679689106385</c:v>
                </c:pt>
              </c:numCache>
            </c:numRef>
          </c:val>
          <c:smooth val="0"/>
          <c:extLst>
            <c:ext xmlns:c16="http://schemas.microsoft.com/office/drawing/2014/chart" uri="{C3380CC4-5D6E-409C-BE32-E72D297353CC}">
              <c16:uniqueId val="{00000000-DF45-4916-A5DF-F5972796A75E}"/>
            </c:ext>
          </c:extLst>
        </c:ser>
        <c:ser>
          <c:idx val="1"/>
          <c:order val="1"/>
          <c:tx>
            <c:strRef>
              <c:f>Serie_delitos!$C$54</c:f>
              <c:strCache>
                <c:ptCount val="1"/>
                <c:pt idx="0">
                  <c:v>Violencia intrafamiliar</c:v>
                </c:pt>
              </c:strCache>
            </c:strRef>
          </c:tx>
          <c:spPr>
            <a:ln w="31750">
              <a:solidFill>
                <a:srgbClr val="AB0F24"/>
              </a:solidFill>
              <a:prstDash val="solid"/>
            </a:ln>
          </c:spPr>
          <c:marker>
            <c:symbol val="circle"/>
            <c:size val="6"/>
            <c:spPr>
              <a:solidFill>
                <a:srgbClr val="AB0F24"/>
              </a:solidFill>
              <a:ln w="12700">
                <a:solidFill>
                  <a:srgbClr val="AB0F24"/>
                </a:solidFill>
                <a:prstDash val="solid"/>
              </a:ln>
            </c:spPr>
          </c:marker>
          <c:cat>
            <c:strRef>
              <c:f>Serie_delitos!$D$44:$L$44</c:f>
              <c:strCache>
                <c:ptCount val="9"/>
                <c:pt idx="0">
                  <c:v>2018</c:v>
                </c:pt>
                <c:pt idx="1">
                  <c:v>2019</c:v>
                </c:pt>
                <c:pt idx="2">
                  <c:v>2020</c:v>
                </c:pt>
                <c:pt idx="3">
                  <c:v>2021</c:v>
                </c:pt>
                <c:pt idx="4">
                  <c:v>2022</c:v>
                </c:pt>
                <c:pt idx="5">
                  <c:v>2023</c:v>
                </c:pt>
                <c:pt idx="6">
                  <c:v>2024</c:v>
                </c:pt>
                <c:pt idx="7">
                  <c:v>2025</c:v>
                </c:pt>
                <c:pt idx="8">
                  <c:v>2026</c:v>
                </c:pt>
              </c:strCache>
            </c:strRef>
          </c:cat>
          <c:val>
            <c:numRef>
              <c:f>Serie_delitos!$D$54:$L$54</c:f>
              <c:numCache>
                <c:formatCode>0.0</c:formatCode>
                <c:ptCount val="9"/>
                <c:pt idx="0">
                  <c:v>100</c:v>
                </c:pt>
                <c:pt idx="1">
                  <c:v>97.111595539532161</c:v>
                </c:pt>
                <c:pt idx="2">
                  <c:v>102.71233336128111</c:v>
                </c:pt>
                <c:pt idx="3">
                  <c:v>97.078058187306112</c:v>
                </c:pt>
                <c:pt idx="4">
                  <c:v>96.776222017271735</c:v>
                </c:pt>
                <c:pt idx="5">
                  <c:v>84.895614991196439</c:v>
                </c:pt>
                <c:pt idx="6">
                  <c:v>112.64358178921773</c:v>
                </c:pt>
                <c:pt idx="7">
                  <c:v>123.41745619183367</c:v>
                </c:pt>
                <c:pt idx="8">
                  <c:v>146.13482015594869</c:v>
                </c:pt>
              </c:numCache>
            </c:numRef>
          </c:val>
          <c:smooth val="0"/>
          <c:extLst>
            <c:ext xmlns:c16="http://schemas.microsoft.com/office/drawing/2014/chart" uri="{C3380CC4-5D6E-409C-BE32-E72D297353CC}">
              <c16:uniqueId val="{00000001-DF45-4916-A5DF-F5972796A75E}"/>
            </c:ext>
          </c:extLst>
        </c:ser>
        <c:ser>
          <c:idx val="2"/>
          <c:order val="2"/>
          <c:tx>
            <c:strRef>
              <c:f>Serie_delitos!$C$55</c:f>
              <c:strCache>
                <c:ptCount val="1"/>
                <c:pt idx="0">
                  <c:v>Delitos sexuales</c:v>
                </c:pt>
              </c:strCache>
            </c:strRef>
          </c:tx>
          <c:spPr>
            <a:ln w="31750">
              <a:solidFill>
                <a:srgbClr val="8E44C8"/>
              </a:solidFill>
              <a:prstDash val="solid"/>
            </a:ln>
          </c:spPr>
          <c:marker>
            <c:symbol val="circle"/>
            <c:size val="6"/>
            <c:spPr>
              <a:solidFill>
                <a:srgbClr val="8E44C8"/>
              </a:solidFill>
              <a:ln w="12700">
                <a:solidFill>
                  <a:srgbClr val="8E44C8"/>
                </a:solidFill>
                <a:prstDash val="solid"/>
              </a:ln>
            </c:spPr>
          </c:marker>
          <c:cat>
            <c:strRef>
              <c:f>Serie_delitos!$D$44:$L$44</c:f>
              <c:strCache>
                <c:ptCount val="9"/>
                <c:pt idx="0">
                  <c:v>2018</c:v>
                </c:pt>
                <c:pt idx="1">
                  <c:v>2019</c:v>
                </c:pt>
                <c:pt idx="2">
                  <c:v>2020</c:v>
                </c:pt>
                <c:pt idx="3">
                  <c:v>2021</c:v>
                </c:pt>
                <c:pt idx="4">
                  <c:v>2022</c:v>
                </c:pt>
                <c:pt idx="5">
                  <c:v>2023</c:v>
                </c:pt>
                <c:pt idx="6">
                  <c:v>2024</c:v>
                </c:pt>
                <c:pt idx="7">
                  <c:v>2025</c:v>
                </c:pt>
                <c:pt idx="8">
                  <c:v>2026</c:v>
                </c:pt>
              </c:strCache>
            </c:strRef>
          </c:cat>
          <c:val>
            <c:numRef>
              <c:f>Serie_delitos!$D$55:$L$55</c:f>
              <c:numCache>
                <c:formatCode>0.0</c:formatCode>
                <c:ptCount val="9"/>
                <c:pt idx="0">
                  <c:v>100</c:v>
                </c:pt>
                <c:pt idx="1">
                  <c:v>115.97550793209017</c:v>
                </c:pt>
                <c:pt idx="2">
                  <c:v>89.312552184803778</c:v>
                </c:pt>
                <c:pt idx="3">
                  <c:v>110.0751461174506</c:v>
                </c:pt>
                <c:pt idx="4">
                  <c:v>127.33092123573616</c:v>
                </c:pt>
                <c:pt idx="5">
                  <c:v>108.711383245199</c:v>
                </c:pt>
                <c:pt idx="6">
                  <c:v>179.04258279988866</c:v>
                </c:pt>
                <c:pt idx="7">
                  <c:v>166.46256610075145</c:v>
                </c:pt>
                <c:pt idx="8">
                  <c:v>145.39382131923185</c:v>
                </c:pt>
              </c:numCache>
            </c:numRef>
          </c:val>
          <c:smooth val="0"/>
          <c:extLst>
            <c:ext xmlns:c16="http://schemas.microsoft.com/office/drawing/2014/chart" uri="{C3380CC4-5D6E-409C-BE32-E72D297353CC}">
              <c16:uniqueId val="{00000002-DF45-4916-A5DF-F5972796A75E}"/>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9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200"/>
          <c:min val="0"/>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majorUnit val="50"/>
      </c:valAx>
    </c:plotArea>
    <c:legend>
      <c:legendPos val="t"/>
      <c:overlay val="0"/>
      <c:txPr>
        <a:bodyPr/>
        <a:lstStyle/>
        <a:p>
          <a:pPr>
            <a:defRPr sz="900" b="0">
              <a:solidFill>
                <a:srgbClr val="1E1E1E"/>
              </a:solidFill>
              <a:latin typeface="Segoe UI"/>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Cambio (pp)</c:v>
          </c:tx>
          <c:spPr>
            <a:solidFill>
              <a:srgbClr val="D99A16"/>
            </a:solidFill>
            <a:ln>
              <a:noFill/>
              <a:prstDash val="solid"/>
            </a:ln>
          </c:spPr>
          <c:invertIfNegative val="0"/>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Simulador!$T$15:$T$33</c:f>
              <c:strCache>
                <c:ptCount val="19"/>
                <c:pt idx="0">
                  <c:v>La Candelaria</c:v>
                </c:pt>
                <c:pt idx="1">
                  <c:v>Tunjuelito</c:v>
                </c:pt>
                <c:pt idx="2">
                  <c:v>Ciudad Bolívar</c:v>
                </c:pt>
                <c:pt idx="3">
                  <c:v>Santa Fe</c:v>
                </c:pt>
                <c:pt idx="4">
                  <c:v>Usme</c:v>
                </c:pt>
                <c:pt idx="5">
                  <c:v>Los Mártires</c:v>
                </c:pt>
                <c:pt idx="6">
                  <c:v>Bosa</c:v>
                </c:pt>
                <c:pt idx="7">
                  <c:v>Kennedy</c:v>
                </c:pt>
                <c:pt idx="8">
                  <c:v>Engativá</c:v>
                </c:pt>
                <c:pt idx="9">
                  <c:v>Antonio Nariño</c:v>
                </c:pt>
                <c:pt idx="10">
                  <c:v>San Cristóbal</c:v>
                </c:pt>
                <c:pt idx="11">
                  <c:v>Chapinero</c:v>
                </c:pt>
                <c:pt idx="12">
                  <c:v>Usaquén</c:v>
                </c:pt>
                <c:pt idx="13">
                  <c:v>Fontibón</c:v>
                </c:pt>
                <c:pt idx="14">
                  <c:v>Rafael Uribe Uribe</c:v>
                </c:pt>
                <c:pt idx="15">
                  <c:v>Puente Aranda</c:v>
                </c:pt>
                <c:pt idx="16">
                  <c:v>Teusaquillo</c:v>
                </c:pt>
                <c:pt idx="17">
                  <c:v>Barrios Unidos</c:v>
                </c:pt>
                <c:pt idx="18">
                  <c:v>Suba</c:v>
                </c:pt>
              </c:strCache>
            </c:strRef>
          </c:cat>
          <c:val>
            <c:numRef>
              <c:f>Simulador!$U$15:$U$33</c:f>
              <c:numCache>
                <c:formatCode>\+0.0;"−"0.0;0.0</c:formatCode>
                <c:ptCount val="19"/>
                <c:pt idx="0">
                  <c:v>-11.673064044083031</c:v>
                </c:pt>
                <c:pt idx="1">
                  <c:v>-10.675820005655357</c:v>
                </c:pt>
                <c:pt idx="2">
                  <c:v>-10.216964346345703</c:v>
                </c:pt>
                <c:pt idx="3">
                  <c:v>-9.1809281305698427</c:v>
                </c:pt>
                <c:pt idx="4">
                  <c:v>-9.1607654276717572</c:v>
                </c:pt>
                <c:pt idx="5">
                  <c:v>-9.0948904779112318</c:v>
                </c:pt>
                <c:pt idx="6">
                  <c:v>-8.7920579922518787</c:v>
                </c:pt>
                <c:pt idx="7">
                  <c:v>-8.090099733479839</c:v>
                </c:pt>
                <c:pt idx="8">
                  <c:v>-7.4746900908895739</c:v>
                </c:pt>
                <c:pt idx="9">
                  <c:v>-7.2398277853183091</c:v>
                </c:pt>
                <c:pt idx="10">
                  <c:v>-7.2195833367814819</c:v>
                </c:pt>
                <c:pt idx="11">
                  <c:v>-7.1109696183631002</c:v>
                </c:pt>
                <c:pt idx="12">
                  <c:v>-6.8476203471765587</c:v>
                </c:pt>
                <c:pt idx="13">
                  <c:v>-6.5433624939657768</c:v>
                </c:pt>
                <c:pt idx="14">
                  <c:v>-6.3978062772182875</c:v>
                </c:pt>
                <c:pt idx="15">
                  <c:v>-6.1156839944407295</c:v>
                </c:pt>
                <c:pt idx="16">
                  <c:v>-5.8783481364613532</c:v>
                </c:pt>
                <c:pt idx="17">
                  <c:v>-5.7401956818995128</c:v>
                </c:pt>
                <c:pt idx="18">
                  <c:v>-5.0827248850553559</c:v>
                </c:pt>
              </c:numCache>
            </c:numRef>
          </c:val>
          <c:extLst>
            <c:ext xmlns:c16="http://schemas.microsoft.com/office/drawing/2014/chart" uri="{C3380CC4-5D6E-409C-BE32-E72D297353CC}">
              <c16:uniqueId val="{00000000-098D-48E2-986C-BDA42277B55F}"/>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0</xdr:colOff>
      <xdr:row>29</xdr:row>
      <xdr:rowOff>0</xdr:rowOff>
    </xdr:from>
    <xdr:ext cx="8790476" cy="41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32</xdr:row>
      <xdr:rowOff>0</xdr:rowOff>
    </xdr:from>
    <xdr:ext cx="7170285"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32</xdr:row>
      <xdr:rowOff>0</xdr:rowOff>
    </xdr:from>
    <xdr:ext cx="4480380" cy="34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9</xdr:row>
      <xdr:rowOff>0</xdr:rowOff>
    </xdr:from>
    <xdr:ext cx="6175619" cy="3311999"/>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96</xdr:row>
      <xdr:rowOff>0</xdr:rowOff>
    </xdr:from>
    <xdr:ext cx="6175619" cy="2736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15</xdr:row>
      <xdr:rowOff>0</xdr:rowOff>
    </xdr:from>
    <xdr:ext cx="4615809" cy="2951999"/>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15</xdr:row>
      <xdr:rowOff>0</xdr:rowOff>
    </xdr:from>
    <xdr:ext cx="3087809" cy="2951999"/>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21</xdr:row>
      <xdr:rowOff>0</xdr:rowOff>
    </xdr:from>
    <xdr:ext cx="10511047" cy="36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12</xdr:row>
      <xdr:rowOff>0</xdr:rowOff>
    </xdr:from>
    <xdr:ext cx="5678285" cy="4031999"/>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PanelLocalidad" displayName="tPanelLocalidad" ref="B7:Z26">
  <autoFilter ref="B7:Z26" xr:uid="{00000000-0009-0000-0100-000001000000}"/>
  <tableColumns count="25">
    <tableColumn id="2" xr3:uid="{00000000-0010-0000-0000-000002000000}" name="Código"/>
    <tableColumn id="3" xr3:uid="{00000000-0010-0000-0000-000003000000}" name="Localidad"/>
    <tableColumn id="4" xr3:uid="{00000000-0010-0000-0000-000004000000}" name="Población 2025 (hab.)"/>
    <tableColumn id="5" xr3:uid="{00000000-0010-0000-0000-000005000000}" name="Zona insegura (%)"/>
    <tableColumn id="6" xr3:uid="{00000000-0010-0000-0000-000006000000}" name="Ciudad insegura (%)"/>
    <tableColumn id="7" xr3:uid="{00000000-0010-0000-0000-000007000000}" name="Ciudad peor que antes (%)"/>
    <tableColumn id="8" xr3:uid="{00000000-0010-0000-0000-000008000000}" name="Miedo en el espacio público (%)"/>
    <tableColumn id="9" xr3:uid="{00000000-0010-0000-0000-000009000000}" name="Alumbrado malo (%)"/>
    <tableColumn id="10" xr3:uid="{00000000-0010-0000-0000-00000A000000}" name="Drogas en el parque (%)"/>
    <tableColumn id="11" xr3:uid="{00000000-0010-0000-0000-00000B000000}" name="Acoso en el parque (%)"/>
    <tableColumn id="12" xr3:uid="{00000000-0010-0000-0000-00000C000000}" name="Presenció acoso a mujeres (%)"/>
    <tableColumn id="13" xr3:uid="{00000000-0010-0000-0000-00000D000000}" name="Víctima de un delito, último año (%)"/>
    <tableColumn id="14" xr3:uid="{00000000-0010-0000-0000-00000E000000}" name="Barrio inseguro (%)"/>
    <tableColumn id="15" xr3:uid="{00000000-0010-0000-0000-00000F000000}" name="No sale de noche (%)"/>
    <tableColumn id="16" xr3:uid="{00000000-0010-0000-0000-000010000000}" name="Teme acoso sexual (%)"/>
    <tableColumn id="17" xr3:uid="{00000000-0010-0000-0000-000011000000}" name="Delitos de alto impacto (por 100.000 hab.)"/>
    <tableColumn id="18" xr3:uid="{00000000-0010-0000-0000-000012000000}" name="Hurtos (por 100.000 hab.)"/>
    <tableColumn id="19" xr3:uid="{00000000-0010-0000-0000-000013000000}" name="Homicidios (por 100.000 hab.)"/>
    <tableColumn id="20" xr3:uid="{00000000-0010-0000-0000-000014000000}" name="VIF y delitos sexuales (por 100.000 mujeres)"/>
    <tableColumn id="21" xr3:uid="{00000000-0010-0000-0000-000015000000}" name="Llamadas 123 por narcóticos (por 100.000 hab.)"/>
    <tableColumn id="22" xr3:uid="{00000000-0010-0000-0000-000016000000}" name="Llamadas 123 por riñas (por 100.000 hab.)"/>
    <tableColumn id="23" xr3:uid="{00000000-0010-0000-0000-000017000000}" name="Llamadas 123 por maltrato a mujer (por 100.000 hab.)"/>
    <tableColumn id="24" xr3:uid="{00000000-0010-0000-0000-000018000000}" name="Área (km²)"/>
    <tableColumn id="25" xr3:uid="{00000000-0010-0000-0000-000019000000}" name="Luminarias por km² (UAESP 2019)"/>
    <tableColumn id="26" xr3:uid="{00000000-0010-0000-0000-00001A000000}" name="Espacio público efectivo (m²/hab.)"/>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Diccionario" displayName="tDiccionario" ref="B6:I50">
  <autoFilter ref="B6:I50" xr:uid="{00000000-0009-0000-0100-000002000000}"/>
  <tableColumns count="8">
    <tableColumn id="2" xr3:uid="{00000000-0010-0000-0100-000002000000}" name="Tipo"/>
    <tableColumn id="3" xr3:uid="{00000000-0010-0000-0100-000003000000}" name="Variable"/>
    <tableColumn id="4" xr3:uid="{00000000-0010-0000-0100-000004000000}" name="Nombre"/>
    <tableColumn id="5" xr3:uid="{00000000-0010-0000-0100-000005000000}" name="Definición"/>
    <tableColumn id="6" xr3:uid="{00000000-0010-0000-0100-000006000000}" name="Unidad"/>
    <tableColumn id="7" xr3:uid="{00000000-0010-0000-0100-000007000000}" name="Fuente"/>
    <tableColumn id="8" xr3:uid="{00000000-0010-0000-0100-000008000000}" name="Año / corte"/>
    <tableColumn id="9" xr3:uid="{00000000-0010-0000-0100-000009000000}" name="Dónde aparec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Fuentes" displayName="tFuentes" ref="B6:G16">
  <autoFilter ref="B6:G16" xr:uid="{00000000-0009-0000-0100-000003000000}"/>
  <tableColumns count="6">
    <tableColumn id="2" xr3:uid="{00000000-0010-0000-0200-000002000000}" name="Entidad"/>
    <tableColumn id="3" xr3:uid="{00000000-0010-0000-0200-000003000000}" name="Conjunto de datos"/>
    <tableColumn id="4" xr3:uid="{00000000-0010-0000-0200-000004000000}" name="Uso en el proyecto"/>
    <tableColumn id="5" xr3:uid="{00000000-0010-0000-0200-000005000000}" name="Portal (enlace)"/>
    <tableColumn id="6" xr3:uid="{00000000-0010-0000-0200-000006000000}" name="Descarga directa"/>
    <tableColumn id="7" xr3:uid="{00000000-0010-0000-0200-000007000000}" name="Archivo local (data/crudos/)"/>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itacora" displayName="tBitacora" ref="B6:E26">
  <autoFilter ref="B6:E26" xr:uid="{00000000-0009-0000-0100-000004000000}"/>
  <tableColumns count="4">
    <tableColumn id="2" xr3:uid="{00000000-0010-0000-0300-000002000000}" name="N.º"/>
    <tableColumn id="3" xr3:uid="{00000000-0010-0000-0300-000003000000}" name="Fuente"/>
    <tableColumn id="4" xr3:uid="{00000000-0010-0000-0300-000004000000}" name="Paso"/>
    <tableColumn id="5" xr3:uid="{00000000-0010-0000-0300-000005000000}" name="Detall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scenarios" displayName="tEscenarios" ref="B7:I67">
  <autoFilter ref="B7:I67" xr:uid="{00000000-0009-0000-0100-000005000000}"/>
  <tableColumns count="8">
    <tableColumn id="2" xr3:uid="{00000000-0010-0000-0400-000002000000}" name="Grupo"/>
    <tableColumn id="3" xr3:uid="{00000000-0010-0000-0400-000003000000}" name="Código"/>
    <tableColumn id="4" xr3:uid="{00000000-0010-0000-0400-000004000000}" name="Localidad"/>
    <tableColumn id="5" xr3:uid="{00000000-0010-0000-0400-000005000000}" name="Hoy (p00)"/>
    <tableColumn id="6" xr3:uid="{00000000-0010-0000-0400-000006000000}" name="Alumbrado resuelto (p10)"/>
    <tableColumn id="7" xr3:uid="{00000000-0010-0000-0400-000007000000}" name="Parques sin atracos (p01)"/>
    <tableColumn id="8" xr3:uid="{00000000-0010-0000-0400-000008000000}" name="Ambas palancas (p11)"/>
    <tableColumn id="9" xr3:uid="{00000000-0010-0000-0400-000009000000}" name="Observado (Bienal 202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usercontent.google.com/download?id=1nCsuCpG7YJ-PQ7ilHtNdGahIDfNHcHDT&amp;export=download&amp;confirm=t" TargetMode="External"/><Relationship Id="rId13" Type="http://schemas.openxmlformats.org/officeDocument/2006/relationships/hyperlink" Target="https://datosabiertos.bogota.gov.co/dataset/proyecciones-y-retroproyecciones-de-poblacion-2005-2035" TargetMode="External"/><Relationship Id="rId18" Type="http://schemas.openxmlformats.org/officeDocument/2006/relationships/hyperlink" Target="https://datosabiertos.bogota.gov.co/dataset/9bfb08ba-14d3-45e3-9ae8-2e96b59565c9/resource/cb3a42bd-72ec-4625-a004-55f7fc4dd7da/download/agosto-2019-sap-lt.csv" TargetMode="External"/><Relationship Id="rId3" Type="http://schemas.openxmlformats.org/officeDocument/2006/relationships/hyperlink" Target="https://oaiee.scj.gov.co/agc/rest/services/Tematicos_Pub/CifrasSCJ/MapServer/2" TargetMode="External"/><Relationship Id="rId21" Type="http://schemas.openxmlformats.org/officeDocument/2006/relationships/table" Target="../tables/table3.xml"/><Relationship Id="rId7" Type="http://schemas.openxmlformats.org/officeDocument/2006/relationships/hyperlink" Target="https://observatoriocultura.github.io/observatorio/" TargetMode="External"/><Relationship Id="rId12" Type="http://schemas.openxmlformats.org/officeDocument/2006/relationships/hyperlink" Target="https://datosabiertos.bogota.gov.co/dataset/0f1fb76a-1595-43d5-9257-0abcc3db908a/resource/5669484f-dc1d-4457-b1d1-de0a3825b41c/download/202503_localidad_proyeccion_retroproyeccion_poblacion_2005_2035.ods" TargetMode="External"/><Relationship Id="rId17" Type="http://schemas.openxmlformats.org/officeDocument/2006/relationships/hyperlink" Target="https://datosabiertos.bogota.gov.co/dataset/alumbrado_publico_lt" TargetMode="External"/><Relationship Id="rId2" Type="http://schemas.openxmlformats.org/officeDocument/2006/relationships/hyperlink" Target="https://oaiee.scj.gov.co/agc/rest/services/Tematicos_Pub/CifrasSCJ/MapServer/0" TargetMode="External"/><Relationship Id="rId16" Type="http://schemas.openxmlformats.org/officeDocument/2006/relationships/hyperlink" Target="https://datosabiertos.bogota.gov.co/dataset/856cb657-8ca3-4ee8-857f-37211173b1f8/resource/497b8756-0927-4aee-8da9-ca4e32ca3a8a/download/loca.json" TargetMode="External"/><Relationship Id="rId20" Type="http://schemas.openxmlformats.org/officeDocument/2006/relationships/hyperlink" Target="https://serviciosgis.catastrobogota.gov.co/arcgis/rest/services/espaciopublico/indicadorespaciopublico/MapServer" TargetMode="External"/><Relationship Id="rId1" Type="http://schemas.openxmlformats.org/officeDocument/2006/relationships/hyperlink" Target="https://datosabiertos.bogota.gov.co/dataset/delito-de-alto-impacto-bogota-d-c" TargetMode="External"/><Relationship Id="rId6" Type="http://schemas.openxmlformats.org/officeDocument/2006/relationships/hyperlink" Target="https://oaiee.scj.gov.co/agc/rest/services/Tematicos_Pub/CifrasSCJ/MapServer/3" TargetMode="External"/><Relationship Id="rId11" Type="http://schemas.openxmlformats.org/officeDocument/2006/relationships/hyperlink" Target="https://datosabiertos.bogota.gov.co/dataset/proyecciones-y-retroproyecciones-de-poblacion-2005-2035" TargetMode="External"/><Relationship Id="rId5" Type="http://schemas.openxmlformats.org/officeDocument/2006/relationships/hyperlink" Target="https://oaiee.scj.gov.co/agc/rest/services/Tematicos_Pub/CifrasSCJ/MapServer/3" TargetMode="External"/><Relationship Id="rId15" Type="http://schemas.openxmlformats.org/officeDocument/2006/relationships/hyperlink" Target="https://datosabiertos.bogota.gov.co/dataset/localidad-bogota-d-c" TargetMode="External"/><Relationship Id="rId10" Type="http://schemas.openxmlformats.org/officeDocument/2006/relationships/hyperlink" Target="https://gobiernoabiertobogota.gov.co/assets/docs/downloads/ENCUESTA_MUNDIAL_DE_VALORES_OLA_8_2024.xlsx" TargetMode="External"/><Relationship Id="rId19" Type="http://schemas.openxmlformats.org/officeDocument/2006/relationships/hyperlink" Target="https://datosabiertos.bogota.gov.co/dataset/indicador-espacio-publico-localidad-bogota-d-c" TargetMode="External"/><Relationship Id="rId4" Type="http://schemas.openxmlformats.org/officeDocument/2006/relationships/hyperlink" Target="https://oaiee.scj.gov.co/agc/rest/services/Tematicos_Pub/CifrasSCJ/MapServer/2" TargetMode="External"/><Relationship Id="rId9" Type="http://schemas.openxmlformats.org/officeDocument/2006/relationships/hyperlink" Target="https://gobiernoabiertobogota.gov.co/transparencia" TargetMode="External"/><Relationship Id="rId14" Type="http://schemas.openxmlformats.org/officeDocument/2006/relationships/hyperlink" Target="https://datosabiertos.bogota.gov.co/dataset/0f1fb76a-1595-43d5-9257-0abcc3db908a/resource/96583ea9-9c0b-40c3-9797-156d173eb734/download/202503_upz_proyeccion_retroproyeccion_poblacion_2005_2035.od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A00"/>
    <pageSetUpPr fitToPage="1"/>
  </sheetPr>
  <dimension ref="B2:E43"/>
  <sheetViews>
    <sheetView showGridLines="0" tabSelected="1" zoomScale="90" workbookViewId="0"/>
  </sheetViews>
  <sheetFormatPr baseColWidth="10" defaultColWidth="9.140625" defaultRowHeight="15" x14ac:dyDescent="0.25"/>
  <cols>
    <col min="1" max="1" width="3" customWidth="1"/>
    <col min="2" max="2" width="4" customWidth="1"/>
    <col min="3" max="3" width="24" customWidth="1"/>
    <col min="4" max="4" width="70" customWidth="1"/>
    <col min="5" max="5" width="16" customWidth="1"/>
  </cols>
  <sheetData>
    <row r="2" spans="3:5" ht="21.95" customHeight="1" x14ac:dyDescent="0.25">
      <c r="C2" s="1" t="s">
        <v>0</v>
      </c>
    </row>
    <row r="3" spans="3:5" ht="54" customHeight="1" x14ac:dyDescent="0.25">
      <c r="C3" s="90" t="s">
        <v>1</v>
      </c>
      <c r="D3" s="83"/>
      <c r="E3" s="83"/>
    </row>
    <row r="4" spans="3:5" ht="26.1" customHeight="1" x14ac:dyDescent="0.25">
      <c r="C4" s="89" t="s">
        <v>2</v>
      </c>
      <c r="D4" s="83"/>
      <c r="E4" s="83"/>
    </row>
    <row r="5" spans="3:5" ht="3" customHeight="1" x14ac:dyDescent="0.25">
      <c r="C5" s="2"/>
      <c r="D5" s="2"/>
      <c r="E5" s="2"/>
    </row>
    <row r="6" spans="3:5" ht="14.1" customHeight="1" x14ac:dyDescent="0.25"/>
    <row r="7" spans="3:5" ht="20.100000000000001" customHeight="1" x14ac:dyDescent="0.25">
      <c r="C7" s="91" t="s">
        <v>3</v>
      </c>
      <c r="D7" s="83"/>
      <c r="E7" s="83"/>
    </row>
    <row r="9" spans="3:5" x14ac:dyDescent="0.25">
      <c r="C9" s="3" t="s">
        <v>4</v>
      </c>
    </row>
    <row r="10" spans="3:5" ht="44.1" customHeight="1" x14ac:dyDescent="0.25">
      <c r="C10" s="92" t="s">
        <v>5</v>
      </c>
      <c r="D10" s="83"/>
      <c r="E10" s="83"/>
    </row>
    <row r="11" spans="3:5" ht="33.75" customHeight="1" x14ac:dyDescent="0.25">
      <c r="C11" s="4" t="s">
        <v>6</v>
      </c>
      <c r="D11" s="86" t="s">
        <v>7</v>
      </c>
      <c r="E11" s="83"/>
    </row>
    <row r="12" spans="3:5" ht="33.75" customHeight="1" x14ac:dyDescent="0.25">
      <c r="C12" s="4" t="s">
        <v>8</v>
      </c>
      <c r="D12" s="86" t="s">
        <v>9</v>
      </c>
      <c r="E12" s="83"/>
    </row>
    <row r="13" spans="3:5" ht="20.85" customHeight="1" x14ac:dyDescent="0.25">
      <c r="C13" s="4" t="s">
        <v>10</v>
      </c>
      <c r="D13" s="86" t="s">
        <v>11</v>
      </c>
      <c r="E13" s="83"/>
    </row>
    <row r="15" spans="3:5" ht="21.95" customHeight="1" x14ac:dyDescent="0.25">
      <c r="C15" s="3" t="s">
        <v>12</v>
      </c>
    </row>
    <row r="16" spans="3:5" ht="18.95" customHeight="1" x14ac:dyDescent="0.25">
      <c r="C16" s="85" t="s">
        <v>13</v>
      </c>
      <c r="D16" s="83"/>
    </row>
    <row r="17" spans="2:5" ht="18.95" customHeight="1" x14ac:dyDescent="0.25">
      <c r="C17" s="85" t="s">
        <v>14</v>
      </c>
      <c r="D17" s="83"/>
    </row>
    <row r="18" spans="2:5" ht="18.95" customHeight="1" x14ac:dyDescent="0.25">
      <c r="C18" s="85" t="s">
        <v>15</v>
      </c>
      <c r="D18" s="83"/>
    </row>
    <row r="20" spans="2:5" ht="21.95" customHeight="1" x14ac:dyDescent="0.25">
      <c r="C20" s="3" t="s">
        <v>16</v>
      </c>
    </row>
    <row r="21" spans="2:5" ht="20.100000000000001" customHeight="1" x14ac:dyDescent="0.25">
      <c r="B21" s="5">
        <v>1</v>
      </c>
      <c r="C21" s="6" t="s">
        <v>17</v>
      </c>
      <c r="D21" s="7" t="s">
        <v>18</v>
      </c>
      <c r="E21" s="8"/>
    </row>
    <row r="22" spans="2:5" ht="20.100000000000001" customHeight="1" x14ac:dyDescent="0.25">
      <c r="B22" s="5">
        <v>2</v>
      </c>
      <c r="C22" s="6" t="s">
        <v>19</v>
      </c>
      <c r="D22" s="7" t="s">
        <v>20</v>
      </c>
      <c r="E22" s="8"/>
    </row>
    <row r="23" spans="2:5" ht="20.100000000000001" customHeight="1" x14ac:dyDescent="0.25">
      <c r="B23" s="5">
        <v>3</v>
      </c>
      <c r="C23" s="6" t="s">
        <v>21</v>
      </c>
      <c r="D23" s="7" t="s">
        <v>22</v>
      </c>
      <c r="E23" s="8"/>
    </row>
    <row r="24" spans="2:5" ht="20.100000000000001" customHeight="1" x14ac:dyDescent="0.25">
      <c r="B24" s="5">
        <v>4</v>
      </c>
      <c r="C24" s="6" t="s">
        <v>23</v>
      </c>
      <c r="D24" s="7" t="s">
        <v>24</v>
      </c>
      <c r="E24" s="8"/>
    </row>
    <row r="25" spans="2:5" ht="20.100000000000001" customHeight="1" x14ac:dyDescent="0.25">
      <c r="B25" s="5">
        <v>5</v>
      </c>
      <c r="C25" s="6" t="s">
        <v>25</v>
      </c>
      <c r="D25" s="7" t="s">
        <v>26</v>
      </c>
      <c r="E25" s="8"/>
    </row>
    <row r="26" spans="2:5" ht="20.100000000000001" customHeight="1" x14ac:dyDescent="0.25">
      <c r="B26" s="5">
        <v>6</v>
      </c>
      <c r="C26" s="6" t="s">
        <v>27</v>
      </c>
      <c r="D26" s="7" t="s">
        <v>28</v>
      </c>
      <c r="E26" s="8"/>
    </row>
    <row r="27" spans="2:5" ht="20.100000000000001" customHeight="1" x14ac:dyDescent="0.25">
      <c r="B27" s="5">
        <v>7</v>
      </c>
      <c r="C27" s="6" t="s">
        <v>29</v>
      </c>
      <c r="D27" s="7" t="s">
        <v>30</v>
      </c>
      <c r="E27" s="8"/>
    </row>
    <row r="28" spans="2:5" ht="20.100000000000001" customHeight="1" x14ac:dyDescent="0.25">
      <c r="B28" s="5">
        <v>8</v>
      </c>
      <c r="C28" s="6" t="s">
        <v>31</v>
      </c>
      <c r="D28" s="7" t="s">
        <v>32</v>
      </c>
      <c r="E28" s="8"/>
    </row>
    <row r="29" spans="2:5" ht="20.100000000000001" customHeight="1" x14ac:dyDescent="0.25">
      <c r="B29" s="5">
        <v>9</v>
      </c>
      <c r="C29" s="6" t="s">
        <v>33</v>
      </c>
      <c r="D29" s="7" t="s">
        <v>34</v>
      </c>
      <c r="E29" s="8"/>
    </row>
    <row r="30" spans="2:5" ht="20.100000000000001" customHeight="1" x14ac:dyDescent="0.25">
      <c r="B30" s="5">
        <v>10</v>
      </c>
      <c r="C30" s="6" t="s">
        <v>35</v>
      </c>
      <c r="D30" s="7" t="s">
        <v>36</v>
      </c>
      <c r="E30" s="8"/>
    </row>
    <row r="31" spans="2:5" ht="20.100000000000001" customHeight="1" x14ac:dyDescent="0.25">
      <c r="B31" s="5">
        <v>11</v>
      </c>
      <c r="C31" s="6" t="s">
        <v>37</v>
      </c>
      <c r="D31" s="7" t="s">
        <v>38</v>
      </c>
      <c r="E31" s="8"/>
    </row>
    <row r="32" spans="2:5" ht="20.100000000000001" customHeight="1" x14ac:dyDescent="0.25">
      <c r="B32" s="5">
        <v>12</v>
      </c>
      <c r="C32" s="6" t="s">
        <v>39</v>
      </c>
      <c r="D32" s="7" t="s">
        <v>40</v>
      </c>
      <c r="E32" s="8"/>
    </row>
    <row r="34" spans="2:5" ht="21.95" customHeight="1" x14ac:dyDescent="0.25">
      <c r="C34" s="3" t="s">
        <v>41</v>
      </c>
    </row>
    <row r="35" spans="2:5" ht="18" customHeight="1" x14ac:dyDescent="0.25">
      <c r="B35" s="9"/>
      <c r="C35" s="82" t="s">
        <v>42</v>
      </c>
      <c r="D35" s="83"/>
      <c r="E35" s="83"/>
    </row>
    <row r="36" spans="2:5" ht="18" customHeight="1" x14ac:dyDescent="0.25">
      <c r="B36" s="10"/>
      <c r="C36" s="82" t="s">
        <v>43</v>
      </c>
      <c r="D36" s="83"/>
      <c r="E36" s="83"/>
    </row>
    <row r="37" spans="2:5" ht="18" customHeight="1" x14ac:dyDescent="0.25">
      <c r="B37" s="11"/>
      <c r="C37" s="82" t="s">
        <v>44</v>
      </c>
      <c r="D37" s="83"/>
      <c r="E37" s="83"/>
    </row>
    <row r="38" spans="2:5" ht="18" customHeight="1" x14ac:dyDescent="0.25">
      <c r="B38" s="12"/>
      <c r="C38" s="82" t="s">
        <v>45</v>
      </c>
      <c r="D38" s="83"/>
      <c r="E38" s="83"/>
    </row>
    <row r="39" spans="2:5" ht="18" customHeight="1" x14ac:dyDescent="0.25">
      <c r="B39" s="13"/>
      <c r="C39" s="82" t="s">
        <v>46</v>
      </c>
      <c r="D39" s="83"/>
      <c r="E39" s="83"/>
    </row>
    <row r="41" spans="2:5" ht="44.65" customHeight="1" x14ac:dyDescent="0.25">
      <c r="C41" s="84" t="s">
        <v>47</v>
      </c>
      <c r="D41" s="83"/>
      <c r="E41" s="83"/>
    </row>
    <row r="43" spans="2:5" ht="26.1" customHeight="1" x14ac:dyDescent="0.25">
      <c r="C43" s="87" t="s">
        <v>48</v>
      </c>
      <c r="D43" s="88"/>
      <c r="E43" s="88"/>
    </row>
  </sheetData>
  <mergeCells count="17">
    <mergeCell ref="C3:E3"/>
    <mergeCell ref="C18:D18"/>
    <mergeCell ref="C7:E7"/>
    <mergeCell ref="C17:D17"/>
    <mergeCell ref="C35:E35"/>
    <mergeCell ref="D12:E12"/>
    <mergeCell ref="C10:E10"/>
    <mergeCell ref="D11:E11"/>
    <mergeCell ref="D13:E13"/>
    <mergeCell ref="C39:E39"/>
    <mergeCell ref="C43:E43"/>
    <mergeCell ref="C4:E4"/>
    <mergeCell ref="C38:E38"/>
    <mergeCell ref="C36:E36"/>
    <mergeCell ref="C41:E41"/>
    <mergeCell ref="C16:D16"/>
    <mergeCell ref="C37:E37"/>
  </mergeCells>
  <hyperlinks>
    <hyperlink ref="C21" location="'Resumen'!A1" display="Resumen" xr:uid="{00000000-0004-0000-0000-000000000000}"/>
    <hyperlink ref="C22" location="'Panel_localidad'!A1" display="Panel_localidad" xr:uid="{00000000-0004-0000-0000-000001000000}"/>
    <hyperlink ref="C23" location="'Indice_brecha'!A1" display="Indice_brecha" xr:uid="{00000000-0004-0000-0000-000002000000}"/>
    <hyperlink ref="C24" location="'Cifra_oculta'!A1" display="Cifra_oculta" xr:uid="{00000000-0004-0000-0000-000003000000}"/>
    <hyperlink ref="C25" location="'Modelos'!A1" display="Modelos" xr:uid="{00000000-0004-0000-0000-000004000000}"/>
    <hyperlink ref="C26" location="'Genero'!A1" display="Genero" xr:uid="{00000000-0004-0000-0000-000005000000}"/>
    <hyperlink ref="C27" location="'Serie_delitos'!A1" display="Serie_delitos" xr:uid="{00000000-0004-0000-0000-000006000000}"/>
    <hyperlink ref="C28" location="'Simulador'!A1" display="Simulador" xr:uid="{00000000-0004-0000-0000-000007000000}"/>
    <hyperlink ref="C29" location="'Diccionario'!A1" display="Diccionario" xr:uid="{00000000-0004-0000-0000-000008000000}"/>
    <hyperlink ref="C30" location="'Fuentes'!A1" display="Fuentes" xr:uid="{00000000-0004-0000-0000-000009000000}"/>
    <hyperlink ref="C31" location="'Bitacora'!A1" display="Bitacora" xr:uid="{00000000-0004-0000-0000-00000A000000}"/>
    <hyperlink ref="C32" location="'Datos_escenarios'!A1" display="Datos_escenarios" xr:uid="{00000000-0004-0000-0000-00000B000000}"/>
  </hyperlinks>
  <printOptions horizontalCentered="1"/>
  <pageMargins left="0.4" right="0.4" top="0.45" bottom="0.6" header="0.2" footer="0.3"/>
  <pageSetup orientation="portrait"/>
  <headerFooter>
    <oddFooter>&amp;L&amp;7 &amp;K4B4B4BEl miedo que no baja · The data squad · Bogotá DataJam 5&amp;R&amp;7 &amp;K4B4B4B&amp;A ·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0A00"/>
    <pageSetUpPr fitToPage="1"/>
  </sheetPr>
  <dimension ref="B1:P35"/>
  <sheetViews>
    <sheetView showGridLines="0" zoomScale="90" workbookViewId="0"/>
  </sheetViews>
  <sheetFormatPr baseColWidth="10" defaultColWidth="9.140625" defaultRowHeight="15" x14ac:dyDescent="0.25"/>
  <cols>
    <col min="1" max="1" width="2.42578125" customWidth="1"/>
    <col min="2" max="4" width="11" customWidth="1"/>
    <col min="5" max="5" width="2.140625" customWidth="1"/>
    <col min="6" max="8" width="11" customWidth="1"/>
    <col min="9" max="9" width="2.140625" customWidth="1"/>
    <col min="10" max="12" width="11" customWidth="1"/>
    <col min="13" max="13" width="2.140625" customWidth="1"/>
    <col min="14" max="16" width="11" customWidth="1"/>
  </cols>
  <sheetData>
    <row r="1" spans="2:16" ht="20.100000000000001" customHeight="1" x14ac:dyDescent="0.25">
      <c r="B1" s="116" t="s">
        <v>49</v>
      </c>
      <c r="C1" s="83"/>
      <c r="D1" s="83"/>
      <c r="E1" s="83"/>
      <c r="F1" s="83"/>
      <c r="G1" s="83"/>
      <c r="H1" s="83"/>
      <c r="I1" s="83"/>
      <c r="J1" s="83"/>
      <c r="K1" s="83"/>
      <c r="L1" s="83"/>
      <c r="M1" s="83"/>
      <c r="N1" s="83"/>
      <c r="O1" s="83"/>
      <c r="P1" s="14" t="s">
        <v>50</v>
      </c>
    </row>
    <row r="2" spans="2:16" ht="30" customHeight="1" x14ac:dyDescent="0.25">
      <c r="B2" s="15" t="s">
        <v>17</v>
      </c>
    </row>
    <row r="3" spans="2:16" ht="20.100000000000001" customHeight="1" x14ac:dyDescent="0.25">
      <c r="B3" s="16" t="s">
        <v>51</v>
      </c>
    </row>
    <row r="4" spans="2:16" ht="3" customHeight="1" x14ac:dyDescent="0.25">
      <c r="B4" s="2"/>
      <c r="C4" s="2"/>
      <c r="D4" s="2"/>
      <c r="E4" s="2"/>
      <c r="F4" s="2"/>
      <c r="G4" s="2"/>
      <c r="H4" s="2"/>
      <c r="I4" s="2"/>
      <c r="J4" s="2"/>
      <c r="K4" s="2"/>
      <c r="L4" s="2"/>
      <c r="M4" s="2"/>
      <c r="N4" s="2"/>
      <c r="O4" s="2"/>
      <c r="P4" s="2"/>
    </row>
    <row r="5" spans="2:16" ht="9.9499999999999993" customHeight="1" x14ac:dyDescent="0.25"/>
    <row r="6" spans="2:16" x14ac:dyDescent="0.25">
      <c r="B6" s="3" t="s">
        <v>52</v>
      </c>
    </row>
    <row r="7" spans="2:16" ht="21.95" customHeight="1" x14ac:dyDescent="0.25">
      <c r="B7" s="118" t="s">
        <v>53</v>
      </c>
      <c r="C7" s="119"/>
      <c r="D7" s="119"/>
      <c r="F7" s="109" t="s">
        <v>54</v>
      </c>
      <c r="G7" s="110"/>
      <c r="H7" s="110"/>
      <c r="J7" s="109" t="s">
        <v>54</v>
      </c>
      <c r="K7" s="110"/>
      <c r="L7" s="110"/>
      <c r="N7" s="120" t="s">
        <v>55</v>
      </c>
      <c r="O7" s="121"/>
      <c r="P7" s="121"/>
    </row>
    <row r="8" spans="2:16" ht="39.950000000000003" customHeight="1" x14ac:dyDescent="0.25">
      <c r="B8" s="102">
        <f>Serie_delitos!$N$8</f>
        <v>-0.64996669204415691</v>
      </c>
      <c r="C8" s="99"/>
      <c r="D8" s="99"/>
      <c r="F8" s="103">
        <v>0.74</v>
      </c>
      <c r="G8" s="99"/>
      <c r="H8" s="99"/>
      <c r="J8" s="103">
        <f>SUMIFS(Datos_escenarios!$I$8:$I$67,Datos_escenarios!$B$8:$B$67,"Total",Datos_escenarios!$C$8:$C$67,0)</f>
        <v>0.48389447949095371</v>
      </c>
      <c r="K8" s="99"/>
      <c r="L8" s="99"/>
      <c r="N8" s="106">
        <f>Cifra_oculta!$J$27</f>
        <v>5.5852084181374604</v>
      </c>
      <c r="O8" s="99"/>
      <c r="P8" s="99"/>
    </row>
    <row r="9" spans="2:16" ht="48" customHeight="1" x14ac:dyDescent="0.25">
      <c r="B9" s="98" t="s">
        <v>56</v>
      </c>
      <c r="C9" s="99"/>
      <c r="D9" s="99"/>
      <c r="F9" s="98" t="s">
        <v>57</v>
      </c>
      <c r="G9" s="99"/>
      <c r="H9" s="99"/>
      <c r="J9" s="98" t="s">
        <v>58</v>
      </c>
      <c r="K9" s="99"/>
      <c r="L9" s="99"/>
      <c r="N9" s="98" t="s">
        <v>59</v>
      </c>
      <c r="O9" s="99"/>
      <c r="P9" s="99"/>
    </row>
    <row r="10" spans="2:16" ht="17.100000000000001" customHeight="1" x14ac:dyDescent="0.25">
      <c r="B10" s="108" t="s">
        <v>60</v>
      </c>
      <c r="C10" s="99"/>
      <c r="D10" s="99"/>
      <c r="F10" s="108" t="s">
        <v>61</v>
      </c>
      <c r="G10" s="99"/>
      <c r="H10" s="99"/>
      <c r="J10" s="108" t="s">
        <v>62</v>
      </c>
      <c r="K10" s="99"/>
      <c r="L10" s="99"/>
      <c r="N10" s="108" t="s">
        <v>63</v>
      </c>
      <c r="O10" s="99"/>
      <c r="P10" s="99"/>
    </row>
    <row r="11" spans="2:16" ht="12" customHeight="1" x14ac:dyDescent="0.25"/>
    <row r="12" spans="2:16" ht="21.95" customHeight="1" x14ac:dyDescent="0.25">
      <c r="B12" s="109" t="s">
        <v>64</v>
      </c>
      <c r="C12" s="110"/>
      <c r="D12" s="110"/>
      <c r="F12" s="123" t="s">
        <v>65</v>
      </c>
      <c r="G12" s="124"/>
      <c r="H12" s="124"/>
      <c r="J12" s="114" t="s">
        <v>66</v>
      </c>
      <c r="K12" s="115"/>
      <c r="L12" s="115"/>
      <c r="N12" s="118" t="s">
        <v>67</v>
      </c>
      <c r="O12" s="119"/>
      <c r="P12" s="119"/>
    </row>
    <row r="13" spans="2:16" ht="39.950000000000003" customHeight="1" x14ac:dyDescent="0.25">
      <c r="B13" s="104">
        <f>Modelos!$D$18</f>
        <v>13.28718212898994</v>
      </c>
      <c r="C13" s="99"/>
      <c r="D13" s="99"/>
      <c r="F13" s="104">
        <f>Genero!$F$11</f>
        <v>18.01970515501932</v>
      </c>
      <c r="G13" s="99"/>
      <c r="H13" s="99"/>
      <c r="J13" s="122">
        <f>Cifra_oculta!$J$29</f>
        <v>0.71578947368421053</v>
      </c>
      <c r="K13" s="99"/>
      <c r="L13" s="99"/>
      <c r="N13" s="113">
        <f>Modelos!$D$100-Modelos!$D$99</f>
        <v>2.7474210280290512E-3</v>
      </c>
      <c r="O13" s="99"/>
      <c r="P13" s="99"/>
    </row>
    <row r="14" spans="2:16" ht="48" customHeight="1" x14ac:dyDescent="0.25">
      <c r="B14" s="98" t="s">
        <v>68</v>
      </c>
      <c r="C14" s="99"/>
      <c r="D14" s="99"/>
      <c r="F14" s="98" t="s">
        <v>69</v>
      </c>
      <c r="G14" s="99"/>
      <c r="H14" s="99"/>
      <c r="J14" s="98" t="s">
        <v>70</v>
      </c>
      <c r="K14" s="99"/>
      <c r="L14" s="99"/>
      <c r="N14" s="98" t="s">
        <v>71</v>
      </c>
      <c r="O14" s="99"/>
      <c r="P14" s="99"/>
    </row>
    <row r="15" spans="2:16" ht="17.100000000000001" customHeight="1" x14ac:dyDescent="0.25">
      <c r="B15" s="108" t="s">
        <v>72</v>
      </c>
      <c r="C15" s="99"/>
      <c r="D15" s="99"/>
      <c r="F15" s="108" t="s">
        <v>73</v>
      </c>
      <c r="G15" s="99"/>
      <c r="H15" s="99"/>
      <c r="J15" s="108" t="s">
        <v>63</v>
      </c>
      <c r="K15" s="99"/>
      <c r="L15" s="99"/>
      <c r="N15" s="108" t="s">
        <v>72</v>
      </c>
      <c r="O15" s="99"/>
      <c r="P15" s="99"/>
    </row>
    <row r="16" spans="2:16" ht="12" customHeight="1" x14ac:dyDescent="0.25"/>
    <row r="17" spans="2:16" ht="21.95" customHeight="1" x14ac:dyDescent="0.25">
      <c r="B17" s="3" t="s">
        <v>74</v>
      </c>
    </row>
    <row r="18" spans="2:16" ht="21.95" customHeight="1" x14ac:dyDescent="0.3">
      <c r="B18" s="100">
        <v>1</v>
      </c>
      <c r="C18" s="93" t="s">
        <v>75</v>
      </c>
      <c r="D18" s="83"/>
      <c r="E18" s="83"/>
      <c r="F18" s="83"/>
      <c r="G18" s="83"/>
      <c r="H18" s="83"/>
      <c r="I18" s="83"/>
      <c r="J18" s="83"/>
      <c r="K18" s="83"/>
      <c r="L18" s="83"/>
      <c r="M18" s="83"/>
      <c r="N18" s="83"/>
      <c r="O18" s="83"/>
      <c r="P18" s="83"/>
    </row>
    <row r="19" spans="2:16" ht="46.9" customHeight="1" x14ac:dyDescent="0.25">
      <c r="B19" s="95"/>
      <c r="C19" s="105" t="s">
        <v>76</v>
      </c>
      <c r="D19" s="95"/>
      <c r="E19" s="95"/>
      <c r="F19" s="95"/>
      <c r="G19" s="95"/>
      <c r="H19" s="95"/>
      <c r="I19" s="95"/>
      <c r="J19" s="95"/>
      <c r="K19" s="95"/>
      <c r="L19" s="95"/>
      <c r="M19" s="95"/>
      <c r="N19" s="95"/>
      <c r="O19" s="95"/>
      <c r="P19" s="95"/>
    </row>
    <row r="20" spans="2:16" ht="8.1" customHeight="1" x14ac:dyDescent="0.25"/>
    <row r="21" spans="2:16" ht="21.95" customHeight="1" x14ac:dyDescent="0.3">
      <c r="B21" s="100">
        <v>2</v>
      </c>
      <c r="C21" s="93" t="s">
        <v>77</v>
      </c>
      <c r="D21" s="83"/>
      <c r="E21" s="83"/>
      <c r="F21" s="83"/>
      <c r="G21" s="83"/>
      <c r="H21" s="83"/>
      <c r="I21" s="83"/>
      <c r="J21" s="83"/>
      <c r="K21" s="83"/>
      <c r="L21" s="83"/>
      <c r="M21" s="83"/>
      <c r="N21" s="83"/>
      <c r="O21" s="83"/>
      <c r="P21" s="83"/>
    </row>
    <row r="22" spans="2:16" ht="46.9" customHeight="1" x14ac:dyDescent="0.25">
      <c r="B22" s="95"/>
      <c r="C22" s="105" t="s">
        <v>78</v>
      </c>
      <c r="D22" s="95"/>
      <c r="E22" s="95"/>
      <c r="F22" s="95"/>
      <c r="G22" s="95"/>
      <c r="H22" s="95"/>
      <c r="I22" s="95"/>
      <c r="J22" s="95"/>
      <c r="K22" s="95"/>
      <c r="L22" s="95"/>
      <c r="M22" s="95"/>
      <c r="N22" s="95"/>
      <c r="O22" s="95"/>
      <c r="P22" s="95"/>
    </row>
    <row r="23" spans="2:16" ht="8.1" customHeight="1" x14ac:dyDescent="0.25"/>
    <row r="24" spans="2:16" ht="21.95" customHeight="1" x14ac:dyDescent="0.3">
      <c r="B24" s="100">
        <v>3</v>
      </c>
      <c r="C24" s="93" t="s">
        <v>79</v>
      </c>
      <c r="D24" s="83"/>
      <c r="E24" s="83"/>
      <c r="F24" s="83"/>
      <c r="G24" s="83"/>
      <c r="H24" s="83"/>
      <c r="I24" s="83"/>
      <c r="J24" s="83"/>
      <c r="K24" s="83"/>
      <c r="L24" s="83"/>
      <c r="M24" s="83"/>
      <c r="N24" s="83"/>
      <c r="O24" s="83"/>
      <c r="P24" s="83"/>
    </row>
    <row r="25" spans="2:16" ht="33.75" customHeight="1" x14ac:dyDescent="0.25">
      <c r="B25" s="95"/>
      <c r="C25" s="105" t="s">
        <v>80</v>
      </c>
      <c r="D25" s="95"/>
      <c r="E25" s="95"/>
      <c r="F25" s="95"/>
      <c r="G25" s="95"/>
      <c r="H25" s="95"/>
      <c r="I25" s="95"/>
      <c r="J25" s="95"/>
      <c r="K25" s="95"/>
      <c r="L25" s="95"/>
      <c r="M25" s="95"/>
      <c r="N25" s="95"/>
      <c r="O25" s="95"/>
      <c r="P25" s="95"/>
    </row>
    <row r="26" spans="2:16" ht="8.1" customHeight="1" x14ac:dyDescent="0.25"/>
    <row r="27" spans="2:16" ht="21.95" customHeight="1" x14ac:dyDescent="0.25">
      <c r="B27" s="3" t="s">
        <v>81</v>
      </c>
    </row>
    <row r="28" spans="2:16" ht="24" customHeight="1" x14ac:dyDescent="0.25">
      <c r="B28" s="18" t="s">
        <v>82</v>
      </c>
      <c r="C28" s="111" t="s">
        <v>83</v>
      </c>
      <c r="D28" s="112"/>
      <c r="E28" s="112"/>
      <c r="F28" s="111" t="s">
        <v>84</v>
      </c>
      <c r="G28" s="112"/>
      <c r="H28" s="112"/>
      <c r="I28" s="111" t="s">
        <v>85</v>
      </c>
      <c r="J28" s="112"/>
      <c r="K28" s="112"/>
      <c r="L28" s="112"/>
      <c r="M28" s="111" t="s">
        <v>86</v>
      </c>
      <c r="N28" s="112"/>
      <c r="O28" s="112"/>
      <c r="P28" s="112"/>
    </row>
    <row r="29" spans="2:16" ht="20.100000000000001" customHeight="1" x14ac:dyDescent="0.25">
      <c r="B29" s="19">
        <f>Indice_brecha!B8</f>
        <v>1</v>
      </c>
      <c r="C29" s="96" t="str">
        <f>Indice_brecha!D8</f>
        <v>Usme</v>
      </c>
      <c r="D29" s="95"/>
      <c r="E29" s="95"/>
      <c r="F29" s="101">
        <f>Indice_brecha!J8</f>
        <v>2.6672309882365788</v>
      </c>
      <c r="G29" s="95"/>
      <c r="H29" s="95"/>
      <c r="I29" s="94">
        <f>Indice_brecha!K8</f>
        <v>2.2291947626478792</v>
      </c>
      <c r="J29" s="95"/>
      <c r="K29" s="97">
        <f>Indice_brecha!L8</f>
        <v>2.9840342737760368</v>
      </c>
      <c r="L29" s="95"/>
      <c r="M29" s="107">
        <f>Indice_brecha!N8</f>
        <v>1</v>
      </c>
      <c r="N29" s="95"/>
      <c r="O29" s="95"/>
      <c r="P29" s="95"/>
    </row>
    <row r="30" spans="2:16" ht="20.100000000000001" customHeight="1" x14ac:dyDescent="0.25">
      <c r="B30" s="19">
        <f>Indice_brecha!B9</f>
        <v>2</v>
      </c>
      <c r="C30" s="96" t="str">
        <f>Indice_brecha!D9</f>
        <v>Ciudad Bolívar</v>
      </c>
      <c r="D30" s="95"/>
      <c r="E30" s="95"/>
      <c r="F30" s="101">
        <f>Indice_brecha!J9</f>
        <v>2.3382983922558367</v>
      </c>
      <c r="G30" s="95"/>
      <c r="H30" s="95"/>
      <c r="I30" s="94">
        <f>Indice_brecha!K9</f>
        <v>1.9384041858082961</v>
      </c>
      <c r="J30" s="95"/>
      <c r="K30" s="97">
        <f>Indice_brecha!L9</f>
        <v>2.614699833208213</v>
      </c>
      <c r="L30" s="95"/>
      <c r="M30" s="107">
        <f>Indice_brecha!N9</f>
        <v>1</v>
      </c>
      <c r="N30" s="95"/>
      <c r="O30" s="95"/>
      <c r="P30" s="95"/>
    </row>
    <row r="31" spans="2:16" ht="20.100000000000001" customHeight="1" x14ac:dyDescent="0.25">
      <c r="B31" s="19">
        <f>Indice_brecha!B10</f>
        <v>3</v>
      </c>
      <c r="C31" s="96" t="str">
        <f>Indice_brecha!D10</f>
        <v>Bosa</v>
      </c>
      <c r="D31" s="95"/>
      <c r="E31" s="95"/>
      <c r="F31" s="101">
        <f>Indice_brecha!J10</f>
        <v>1.966110119407676</v>
      </c>
      <c r="G31" s="95"/>
      <c r="H31" s="95"/>
      <c r="I31" s="94">
        <f>Indice_brecha!K10</f>
        <v>1.4871104538945219</v>
      </c>
      <c r="J31" s="95"/>
      <c r="K31" s="97">
        <f>Indice_brecha!L10</f>
        <v>2.391960961299223</v>
      </c>
      <c r="L31" s="95"/>
      <c r="M31" s="107">
        <f>Indice_brecha!N10</f>
        <v>0.995</v>
      </c>
      <c r="N31" s="95"/>
      <c r="O31" s="95"/>
      <c r="P31" s="95"/>
    </row>
    <row r="32" spans="2:16" ht="20.100000000000001" customHeight="1" x14ac:dyDescent="0.25">
      <c r="B32" s="19">
        <f>Indice_brecha!B11</f>
        <v>4</v>
      </c>
      <c r="C32" s="96" t="str">
        <f>Indice_brecha!D11</f>
        <v>Kennedy</v>
      </c>
      <c r="D32" s="95"/>
      <c r="E32" s="95"/>
      <c r="F32" s="101">
        <f>Indice_brecha!J11</f>
        <v>1.7169762806915718</v>
      </c>
      <c r="G32" s="95"/>
      <c r="H32" s="95"/>
      <c r="I32" s="94">
        <f>Indice_brecha!K11</f>
        <v>1.289912744025784</v>
      </c>
      <c r="J32" s="95"/>
      <c r="K32" s="97">
        <f>Indice_brecha!L11</f>
        <v>2.075889258540895</v>
      </c>
      <c r="L32" s="95"/>
      <c r="M32" s="107">
        <f>Indice_brecha!N11</f>
        <v>0.98299999999999998</v>
      </c>
      <c r="N32" s="95"/>
      <c r="O32" s="95"/>
      <c r="P32" s="95"/>
    </row>
    <row r="33" spans="2:16" ht="20.100000000000001" customHeight="1" x14ac:dyDescent="0.25">
      <c r="B33" s="19">
        <f>Indice_brecha!B12</f>
        <v>5</v>
      </c>
      <c r="C33" s="96" t="str">
        <f>Indice_brecha!D12</f>
        <v>San Cristóbal</v>
      </c>
      <c r="D33" s="95"/>
      <c r="E33" s="95"/>
      <c r="F33" s="101">
        <f>Indice_brecha!J12</f>
        <v>1.5442032013914186</v>
      </c>
      <c r="G33" s="95"/>
      <c r="H33" s="95"/>
      <c r="I33" s="94">
        <f>Indice_brecha!K12</f>
        <v>0.99503714123056564</v>
      </c>
      <c r="J33" s="95"/>
      <c r="K33" s="97">
        <f>Indice_brecha!L12</f>
        <v>2.0202623353469611</v>
      </c>
      <c r="L33" s="95"/>
      <c r="M33" s="107">
        <f>Indice_brecha!N12</f>
        <v>0.90900000000000003</v>
      </c>
      <c r="N33" s="95"/>
      <c r="O33" s="95"/>
      <c r="P33" s="95"/>
    </row>
    <row r="35" spans="2:16" ht="18.95" customHeight="1" x14ac:dyDescent="0.25">
      <c r="B35" s="117" t="s">
        <v>87</v>
      </c>
      <c r="C35" s="83"/>
      <c r="D35" s="83"/>
      <c r="E35" s="83"/>
      <c r="F35" s="83"/>
      <c r="G35" s="83"/>
      <c r="H35" s="83"/>
      <c r="I35" s="83"/>
      <c r="J35" s="83"/>
      <c r="K35" s="83"/>
      <c r="L35" s="83"/>
      <c r="M35" s="83"/>
      <c r="N35" s="83"/>
      <c r="O35" s="83"/>
      <c r="P35" s="83"/>
    </row>
  </sheetData>
  <mergeCells count="72">
    <mergeCell ref="B35:P35"/>
    <mergeCell ref="C30:E30"/>
    <mergeCell ref="B7:D7"/>
    <mergeCell ref="F29:H29"/>
    <mergeCell ref="F10:H10"/>
    <mergeCell ref="N7:P7"/>
    <mergeCell ref="I28:L28"/>
    <mergeCell ref="J14:L14"/>
    <mergeCell ref="I29:J29"/>
    <mergeCell ref="J10:L10"/>
    <mergeCell ref="M31:P31"/>
    <mergeCell ref="C33:E33"/>
    <mergeCell ref="J13:L13"/>
    <mergeCell ref="N12:P12"/>
    <mergeCell ref="M30:P30"/>
    <mergeCell ref="I31:J31"/>
    <mergeCell ref="B1:O1"/>
    <mergeCell ref="C28:E28"/>
    <mergeCell ref="F14:H14"/>
    <mergeCell ref="C21:P21"/>
    <mergeCell ref="I33:J33"/>
    <mergeCell ref="M33:P33"/>
    <mergeCell ref="J8:L8"/>
    <mergeCell ref="B12:D12"/>
    <mergeCell ref="F12:H12"/>
    <mergeCell ref="F7:H7"/>
    <mergeCell ref="J9:L9"/>
    <mergeCell ref="M28:P28"/>
    <mergeCell ref="F15:H15"/>
    <mergeCell ref="B21:B22"/>
    <mergeCell ref="J15:L15"/>
    <mergeCell ref="K32:L32"/>
    <mergeCell ref="F30:H30"/>
    <mergeCell ref="B9:D9"/>
    <mergeCell ref="N9:P9"/>
    <mergeCell ref="C25:P25"/>
    <mergeCell ref="F9:H9"/>
    <mergeCell ref="K31:L31"/>
    <mergeCell ref="B15:D15"/>
    <mergeCell ref="J12:L12"/>
    <mergeCell ref="B24:B25"/>
    <mergeCell ref="C22:P22"/>
    <mergeCell ref="C32:E32"/>
    <mergeCell ref="N15:P15"/>
    <mergeCell ref="J7:L7"/>
    <mergeCell ref="K29:L29"/>
    <mergeCell ref="F28:H28"/>
    <mergeCell ref="N10:P10"/>
    <mergeCell ref="F13:H13"/>
    <mergeCell ref="N13:P13"/>
    <mergeCell ref="F33:H33"/>
    <mergeCell ref="C31:E31"/>
    <mergeCell ref="B8:D8"/>
    <mergeCell ref="N14:P14"/>
    <mergeCell ref="C24:P24"/>
    <mergeCell ref="F32:H32"/>
    <mergeCell ref="F8:H8"/>
    <mergeCell ref="B13:D13"/>
    <mergeCell ref="C19:P19"/>
    <mergeCell ref="K33:L33"/>
    <mergeCell ref="N8:P8"/>
    <mergeCell ref="M32:P32"/>
    <mergeCell ref="M29:P29"/>
    <mergeCell ref="B10:D10"/>
    <mergeCell ref="F31:H31"/>
    <mergeCell ref="I32:J32"/>
    <mergeCell ref="C18:P18"/>
    <mergeCell ref="I30:J30"/>
    <mergeCell ref="C29:E29"/>
    <mergeCell ref="K30:L30"/>
    <mergeCell ref="B14:D14"/>
    <mergeCell ref="B18:B19"/>
  </mergeCells>
  <conditionalFormatting sqref="M29:M33">
    <cfRule type="dataBar" priority="1">
      <dataBar>
        <cfvo type="num" val="0"/>
        <cfvo type="num" val="1"/>
        <color rgb="FFF0BF4F"/>
      </dataBar>
      <extLst>
        <ext xmlns:x14="http://schemas.microsoft.com/office/spreadsheetml/2009/9/main" uri="{B025F937-C7B1-47D3-B67F-A62EFF666E3E}">
          <x14:id>{00000000-000E-0000-0100-000001000000}</x14:id>
        </ext>
      </extLst>
    </cfRule>
  </conditionalFormatting>
  <hyperlinks>
    <hyperlink ref="P1" location="'Portada'!A1" display="← Portada" xr:uid="{00000000-0004-0000-0100-000000000000}"/>
  </hyperlinks>
  <printOptions horizontalCentered="1"/>
  <pageMargins left="0.4" right="0.4" top="0.45" bottom="0.6" header="0.2" footer="0.3"/>
  <pageSetup orientation="landscape"/>
  <headerFooter>
    <oddFooter>&amp;L&amp;7 &amp;K4B4B4BEl miedo que no baja · The data squad · Bogotá DataJam 5&amp;R&amp;7 &amp;K4B4B4B&amp;A · &amp;P de &amp;N</oddFooter>
  </headerFooter>
  <extLst>
    <ext xmlns:x14="http://schemas.microsoft.com/office/spreadsheetml/2009/9/main" uri="{78C0D931-6437-407d-A8EE-F0AAD7539E65}">
      <x14:conditionalFormattings>
        <x14:conditionalFormatting xmlns:xm="http://schemas.microsoft.com/office/excel/2006/main">
          <x14:cfRule type="dataBar" id="{00000000-000E-0000-0100-000001000000}">
            <x14:dataBar minLength="0" maxLength="100" negativeBarColorSameAsPositive="1" axisPosition="none">
              <x14:cfvo type="num">
                <xm:f>0</xm:f>
              </x14:cfvo>
              <x14:cfvo type="num">
                <xm:f>1</xm:f>
              </x14:cfvo>
            </x14:dataBar>
          </x14:cfRule>
          <xm:sqref>M29:M33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B0F24"/>
    <pageSetUpPr fitToPage="1"/>
  </sheetPr>
  <dimension ref="B1:Z29"/>
  <sheetViews>
    <sheetView showGridLines="0" zoomScale="90" workbookViewId="0">
      <pane xSplit="3" ySplit="7" topLeftCell="D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0" customWidth="1"/>
    <col min="4" max="26" width="12.42578125" customWidth="1"/>
  </cols>
  <sheetData>
    <row r="1" spans="2:26" ht="20.100000000000001" customHeight="1" x14ac:dyDescent="0.25">
      <c r="B1" s="116" t="s">
        <v>49</v>
      </c>
      <c r="C1" s="83"/>
      <c r="D1" s="83"/>
      <c r="E1" s="83"/>
      <c r="F1" s="83"/>
      <c r="G1" s="83"/>
      <c r="H1" s="83"/>
      <c r="I1" s="83"/>
      <c r="J1" s="83"/>
      <c r="K1" s="83"/>
      <c r="L1" s="83"/>
      <c r="M1" s="83"/>
      <c r="N1" s="83"/>
      <c r="O1" s="83"/>
      <c r="P1" s="83"/>
      <c r="Q1" s="83"/>
      <c r="R1" s="83"/>
      <c r="S1" s="83"/>
      <c r="T1" s="83"/>
      <c r="U1" s="83"/>
      <c r="V1" s="83"/>
      <c r="W1" s="83"/>
      <c r="X1" s="83"/>
      <c r="Y1" s="83"/>
      <c r="Z1" s="14" t="s">
        <v>50</v>
      </c>
    </row>
    <row r="2" spans="2:26" ht="30" customHeight="1" x14ac:dyDescent="0.25">
      <c r="B2" s="15" t="s">
        <v>88</v>
      </c>
    </row>
    <row r="3" spans="2:26" ht="20.100000000000001" customHeight="1" x14ac:dyDescent="0.25">
      <c r="B3" s="16" t="s">
        <v>89</v>
      </c>
    </row>
    <row r="4" spans="2:26" ht="3" customHeight="1" x14ac:dyDescent="0.25">
      <c r="B4" s="2"/>
      <c r="C4" s="2"/>
      <c r="D4" s="2"/>
      <c r="E4" s="2"/>
      <c r="F4" s="2"/>
      <c r="G4" s="2"/>
      <c r="H4" s="2"/>
      <c r="I4" s="2"/>
      <c r="J4" s="2"/>
      <c r="K4" s="2"/>
      <c r="L4" s="2"/>
      <c r="M4" s="2"/>
      <c r="N4" s="2"/>
      <c r="O4" s="2"/>
      <c r="P4" s="2"/>
      <c r="Q4" s="2"/>
      <c r="R4" s="2"/>
      <c r="S4" s="2"/>
      <c r="T4" s="2"/>
      <c r="U4" s="2"/>
      <c r="V4" s="2"/>
      <c r="W4" s="2"/>
      <c r="X4" s="2"/>
      <c r="Y4" s="2"/>
      <c r="Z4" s="2"/>
    </row>
    <row r="5" spans="2:26" ht="9.9499999999999993" customHeight="1" x14ac:dyDescent="0.25"/>
    <row r="6" spans="2:26" ht="21.95" customHeight="1" x14ac:dyDescent="0.25">
      <c r="B6" s="125" t="s">
        <v>90</v>
      </c>
      <c r="C6" s="126"/>
      <c r="D6" s="126"/>
      <c r="E6" s="127" t="s">
        <v>91</v>
      </c>
      <c r="F6" s="128"/>
      <c r="G6" s="128"/>
      <c r="H6" s="128"/>
      <c r="I6" s="127" t="s">
        <v>92</v>
      </c>
      <c r="J6" s="128"/>
      <c r="K6" s="128"/>
      <c r="L6" s="128"/>
      <c r="M6" s="127" t="s">
        <v>93</v>
      </c>
      <c r="N6" s="128"/>
      <c r="O6" s="128"/>
      <c r="P6" s="128"/>
      <c r="Q6" s="130" t="s">
        <v>94</v>
      </c>
      <c r="R6" s="131"/>
      <c r="S6" s="131"/>
      <c r="T6" s="131"/>
      <c r="U6" s="131"/>
      <c r="V6" s="131"/>
      <c r="W6" s="131"/>
      <c r="X6" s="125" t="s">
        <v>95</v>
      </c>
      <c r="Y6" s="126"/>
      <c r="Z6" s="126"/>
    </row>
    <row r="7" spans="2:26" ht="62.1" customHeight="1" x14ac:dyDescent="0.25">
      <c r="B7" s="20" t="s">
        <v>96</v>
      </c>
      <c r="C7" s="20" t="s">
        <v>83</v>
      </c>
      <c r="D7" s="20" t="s">
        <v>97</v>
      </c>
      <c r="E7" s="20" t="s">
        <v>98</v>
      </c>
      <c r="F7" s="20" t="s">
        <v>99</v>
      </c>
      <c r="G7" s="20" t="s">
        <v>100</v>
      </c>
      <c r="H7" s="20" t="s">
        <v>101</v>
      </c>
      <c r="I7" s="20" t="s">
        <v>102</v>
      </c>
      <c r="J7" s="20" t="s">
        <v>103</v>
      </c>
      <c r="K7" s="20" t="s">
        <v>104</v>
      </c>
      <c r="L7" s="20" t="s">
        <v>105</v>
      </c>
      <c r="M7" s="20" t="s">
        <v>106</v>
      </c>
      <c r="N7" s="20" t="s">
        <v>107</v>
      </c>
      <c r="O7" s="20" t="s">
        <v>108</v>
      </c>
      <c r="P7" s="20" t="s">
        <v>109</v>
      </c>
      <c r="Q7" s="20" t="s">
        <v>110</v>
      </c>
      <c r="R7" s="20" t="s">
        <v>111</v>
      </c>
      <c r="S7" s="20" t="s">
        <v>112</v>
      </c>
      <c r="T7" s="20" t="s">
        <v>113</v>
      </c>
      <c r="U7" s="20" t="s">
        <v>114</v>
      </c>
      <c r="V7" s="20" t="s">
        <v>115</v>
      </c>
      <c r="W7" s="20" t="s">
        <v>116</v>
      </c>
      <c r="X7" s="20" t="s">
        <v>117</v>
      </c>
      <c r="Y7" s="20" t="s">
        <v>118</v>
      </c>
      <c r="Z7" s="20" t="s">
        <v>119</v>
      </c>
    </row>
    <row r="8" spans="2:26" ht="18.95" customHeight="1" x14ac:dyDescent="0.25">
      <c r="B8" s="21">
        <v>1</v>
      </c>
      <c r="C8" s="22" t="s">
        <v>120</v>
      </c>
      <c r="D8" s="23">
        <v>572925</v>
      </c>
      <c r="E8" s="24">
        <v>0.248209718368572</v>
      </c>
      <c r="F8" s="24">
        <v>0.83797040769744602</v>
      </c>
      <c r="G8" s="24">
        <v>0.33435077279968101</v>
      </c>
      <c r="H8" s="24">
        <v>7.8982031964184102E-2</v>
      </c>
      <c r="I8" s="24">
        <v>0.47171692805551058</v>
      </c>
      <c r="J8" s="24">
        <v>0.46708720026463918</v>
      </c>
      <c r="K8" s="24">
        <v>0.23330248090472891</v>
      </c>
      <c r="L8" s="24">
        <v>0.43476446720013112</v>
      </c>
      <c r="M8" s="24">
        <v>0.1803824393725682</v>
      </c>
      <c r="N8" s="24">
        <v>0.44848378609545703</v>
      </c>
      <c r="O8" s="24">
        <v>0.55386420512690027</v>
      </c>
      <c r="P8" s="24">
        <v>0.57525540647879014</v>
      </c>
      <c r="Q8" s="23">
        <v>1782.432255530829</v>
      </c>
      <c r="R8" s="23">
        <v>1516.95248069119</v>
      </c>
      <c r="S8" s="25">
        <v>6.1090020508792593</v>
      </c>
      <c r="T8" s="23">
        <v>482.34068313203352</v>
      </c>
      <c r="U8" s="23">
        <v>450.14617969193182</v>
      </c>
      <c r="V8" s="23">
        <v>2604.1803028319591</v>
      </c>
      <c r="W8" s="23">
        <v>698.52074878910855</v>
      </c>
      <c r="X8" s="25">
        <v>65.201413765591965</v>
      </c>
      <c r="Y8" s="23">
        <v>397.73677443916631</v>
      </c>
      <c r="Z8" s="25">
        <v>3.7438340000000001</v>
      </c>
    </row>
    <row r="9" spans="2:26" ht="18.95" customHeight="1" x14ac:dyDescent="0.25">
      <c r="B9" s="21">
        <v>2</v>
      </c>
      <c r="C9" s="22" t="s">
        <v>121</v>
      </c>
      <c r="D9" s="23">
        <v>163693</v>
      </c>
      <c r="E9" s="24">
        <v>0.50505065400726801</v>
      </c>
      <c r="F9" s="24">
        <v>0.81019405487906315</v>
      </c>
      <c r="G9" s="24">
        <v>0.42844845030613088</v>
      </c>
      <c r="H9" s="24">
        <v>9.6854258474493762E-2</v>
      </c>
      <c r="I9" s="24">
        <v>0.33686479058591767</v>
      </c>
      <c r="J9" s="24">
        <v>0.79762303251764488</v>
      </c>
      <c r="K9" s="24">
        <v>0.17540804544925809</v>
      </c>
      <c r="L9" s="24">
        <v>0.43646628681350619</v>
      </c>
      <c r="M9" s="24">
        <v>0.24949576780845709</v>
      </c>
      <c r="N9" s="24">
        <v>0.46689415923365651</v>
      </c>
      <c r="O9" s="24">
        <v>0.53185730465806558</v>
      </c>
      <c r="P9" s="24">
        <v>0.66525474248469729</v>
      </c>
      <c r="Q9" s="23">
        <v>6466.3730275576836</v>
      </c>
      <c r="R9" s="23">
        <v>5919.6178211652305</v>
      </c>
      <c r="S9" s="25">
        <v>6.719896391415638</v>
      </c>
      <c r="T9" s="23">
        <v>1023.467981892489</v>
      </c>
      <c r="U9" s="23">
        <v>712.91991716200448</v>
      </c>
      <c r="V9" s="23">
        <v>4531.6537665019268</v>
      </c>
      <c r="W9" s="23">
        <v>924.90210332757044</v>
      </c>
      <c r="X9" s="25">
        <v>38.00891499416813</v>
      </c>
      <c r="Y9" s="23">
        <v>352.9435134377901</v>
      </c>
      <c r="Z9" s="25">
        <v>4.2117760000000004</v>
      </c>
    </row>
    <row r="10" spans="2:26" ht="18.95" customHeight="1" x14ac:dyDescent="0.25">
      <c r="B10" s="21">
        <v>3</v>
      </c>
      <c r="C10" s="22" t="s">
        <v>122</v>
      </c>
      <c r="D10" s="23">
        <v>113387</v>
      </c>
      <c r="E10" s="24">
        <v>0.58063904999986116</v>
      </c>
      <c r="F10" s="24">
        <v>0.64636522975104271</v>
      </c>
      <c r="G10" s="24">
        <v>0.29046841754820008</v>
      </c>
      <c r="H10" s="24">
        <v>0.12414295993214421</v>
      </c>
      <c r="I10" s="24">
        <v>0.5649633316006657</v>
      </c>
      <c r="J10" s="24">
        <v>0.67707111663971931</v>
      </c>
      <c r="K10" s="24">
        <v>0.29787772342788699</v>
      </c>
      <c r="L10" s="24">
        <v>0.3632282931109127</v>
      </c>
      <c r="M10" s="24">
        <v>0.22754603661744599</v>
      </c>
      <c r="N10" s="24">
        <v>0.60337605336720601</v>
      </c>
      <c r="O10" s="24">
        <v>0.58909488482589301</v>
      </c>
      <c r="P10" s="24">
        <v>0.5872526997856421</v>
      </c>
      <c r="Q10" s="23">
        <v>6731.8122888867329</v>
      </c>
      <c r="R10" s="23">
        <v>5557.9563794791293</v>
      </c>
      <c r="S10" s="25">
        <v>41.450959986594583</v>
      </c>
      <c r="T10" s="23">
        <v>2248.017227795578</v>
      </c>
      <c r="U10" s="23">
        <v>1848.536428338346</v>
      </c>
      <c r="V10" s="23">
        <v>6162.0820729007737</v>
      </c>
      <c r="W10" s="23">
        <v>1561.9074497076381</v>
      </c>
      <c r="X10" s="25">
        <v>45.170645867391272</v>
      </c>
      <c r="Y10" s="23">
        <v>203.7606463945732</v>
      </c>
      <c r="Z10" s="25">
        <v>30.825462000000002</v>
      </c>
    </row>
    <row r="11" spans="2:26" ht="18.95" customHeight="1" x14ac:dyDescent="0.25">
      <c r="B11" s="21">
        <v>4</v>
      </c>
      <c r="C11" s="22" t="s">
        <v>123</v>
      </c>
      <c r="D11" s="23">
        <v>401414</v>
      </c>
      <c r="E11" s="24">
        <v>0.55734340719220932</v>
      </c>
      <c r="F11" s="24">
        <v>0.58168018059264803</v>
      </c>
      <c r="G11" s="24">
        <v>0.4674011128073513</v>
      </c>
      <c r="H11" s="24">
        <v>8.5723447931997807E-2</v>
      </c>
      <c r="I11" s="24">
        <v>0.36926582209931458</v>
      </c>
      <c r="J11" s="24">
        <v>0.56223503127144714</v>
      </c>
      <c r="K11" s="24">
        <v>0.27934658652179228</v>
      </c>
      <c r="L11" s="24">
        <v>0.37472630904263432</v>
      </c>
      <c r="M11" s="24">
        <v>0.2556372832984799</v>
      </c>
      <c r="N11" s="24">
        <v>0.57939426883567813</v>
      </c>
      <c r="O11" s="24">
        <v>0.5993764426407846</v>
      </c>
      <c r="P11" s="24">
        <v>0.52790450685822654</v>
      </c>
      <c r="Q11" s="23">
        <v>1413.254146591798</v>
      </c>
      <c r="R11" s="23">
        <v>894.33851335528914</v>
      </c>
      <c r="S11" s="25">
        <v>14.448923056993531</v>
      </c>
      <c r="T11" s="23">
        <v>974.23216072665696</v>
      </c>
      <c r="U11" s="23">
        <v>548.56083743965075</v>
      </c>
      <c r="V11" s="23">
        <v>4037.4775169774848</v>
      </c>
      <c r="W11" s="23">
        <v>1244.1020990797531</v>
      </c>
      <c r="X11" s="25">
        <v>49.098548527195057</v>
      </c>
      <c r="Y11" s="23">
        <v>364.81730188172003</v>
      </c>
      <c r="Z11" s="25">
        <v>3.3831709999999999</v>
      </c>
    </row>
    <row r="12" spans="2:26" ht="18.95" customHeight="1" x14ac:dyDescent="0.25">
      <c r="B12" s="21">
        <v>5</v>
      </c>
      <c r="C12" s="22" t="s">
        <v>124</v>
      </c>
      <c r="D12" s="23">
        <v>403137</v>
      </c>
      <c r="E12" s="24">
        <v>0.64641785456913581</v>
      </c>
      <c r="F12" s="24">
        <v>0.57916034221524326</v>
      </c>
      <c r="G12" s="24">
        <v>0.18314769448275101</v>
      </c>
      <c r="H12" s="24">
        <v>0.1649470251762083</v>
      </c>
      <c r="I12" s="24">
        <v>0.53187591017235092</v>
      </c>
      <c r="J12" s="24">
        <v>0.60011026922471289</v>
      </c>
      <c r="K12" s="24">
        <v>0.24066738990637029</v>
      </c>
      <c r="L12" s="24">
        <v>0.42035292670483781</v>
      </c>
      <c r="M12" s="24">
        <v>0.1949987130832033</v>
      </c>
      <c r="N12" s="24">
        <v>0.5896525835826214</v>
      </c>
      <c r="O12" s="24">
        <v>0.56204970294287926</v>
      </c>
      <c r="P12" s="24">
        <v>0.66893523578975533</v>
      </c>
      <c r="Q12" s="23">
        <v>1082.758466724712</v>
      </c>
      <c r="R12" s="23">
        <v>695.54518687195673</v>
      </c>
      <c r="S12" s="25">
        <v>12.1546769460506</v>
      </c>
      <c r="T12" s="23">
        <v>733.11223599231971</v>
      </c>
      <c r="U12" s="23">
        <v>524.88360036414417</v>
      </c>
      <c r="V12" s="23">
        <v>4114.7302281854554</v>
      </c>
      <c r="W12" s="23">
        <v>1291.6204664915399</v>
      </c>
      <c r="X12" s="25">
        <v>215.06668664441759</v>
      </c>
      <c r="Y12" s="23">
        <v>75.957835473651357</v>
      </c>
      <c r="Z12" s="25">
        <v>4.2250300000000003</v>
      </c>
    </row>
    <row r="13" spans="2:26" ht="18.95" customHeight="1" x14ac:dyDescent="0.25">
      <c r="B13" s="21">
        <v>6</v>
      </c>
      <c r="C13" s="22" t="s">
        <v>125</v>
      </c>
      <c r="D13" s="23">
        <v>177370</v>
      </c>
      <c r="E13" s="24">
        <v>0.35985430295058157</v>
      </c>
      <c r="F13" s="24">
        <v>0.89551478316551281</v>
      </c>
      <c r="G13" s="24">
        <v>0.39501860551808782</v>
      </c>
      <c r="H13" s="24">
        <v>0.12171071384266111</v>
      </c>
      <c r="I13" s="24">
        <v>0.66263228591365364</v>
      </c>
      <c r="J13" s="24">
        <v>0.51729491205005951</v>
      </c>
      <c r="K13" s="24">
        <v>0.31514766583182841</v>
      </c>
      <c r="L13" s="24">
        <v>0.40808649716319961</v>
      </c>
      <c r="M13" s="24">
        <v>0.29300926755993278</v>
      </c>
      <c r="N13" s="24">
        <v>0.65426124561903298</v>
      </c>
      <c r="O13" s="24">
        <v>0.66126970485194325</v>
      </c>
      <c r="P13" s="24">
        <v>0.5706643183355089</v>
      </c>
      <c r="Q13" s="23">
        <v>2131.7020916727738</v>
      </c>
      <c r="R13" s="23">
        <v>1585.3864802390481</v>
      </c>
      <c r="S13" s="25">
        <v>8.4568980098100024</v>
      </c>
      <c r="T13" s="23">
        <v>1043.775096007615</v>
      </c>
      <c r="U13" s="23">
        <v>578.45182387100408</v>
      </c>
      <c r="V13" s="23">
        <v>4337.2610926312227</v>
      </c>
      <c r="W13" s="23">
        <v>1081.3553588543721</v>
      </c>
      <c r="X13" s="25">
        <v>9.9109397435660913</v>
      </c>
      <c r="Y13" s="23">
        <v>715.67380929791045</v>
      </c>
      <c r="Z13" s="25">
        <v>5.3974060000000001</v>
      </c>
    </row>
    <row r="14" spans="2:26" ht="18.95" customHeight="1" x14ac:dyDescent="0.25">
      <c r="B14" s="21">
        <v>7</v>
      </c>
      <c r="C14" s="22" t="s">
        <v>126</v>
      </c>
      <c r="D14" s="23">
        <v>767340</v>
      </c>
      <c r="E14" s="24">
        <v>0.57061376678171205</v>
      </c>
      <c r="F14" s="24">
        <v>0.79694463920481085</v>
      </c>
      <c r="G14" s="24">
        <v>0.3662417685062706</v>
      </c>
      <c r="H14" s="24">
        <v>9.74708614265484E-2</v>
      </c>
      <c r="I14" s="24">
        <v>0.46487767336535413</v>
      </c>
      <c r="J14" s="24">
        <v>0.58088004017467454</v>
      </c>
      <c r="K14" s="24">
        <v>0.25797348788834812</v>
      </c>
      <c r="L14" s="24">
        <v>0.38093345725947458</v>
      </c>
      <c r="M14" s="24">
        <v>0.26493195835889799</v>
      </c>
      <c r="N14" s="24">
        <v>0.59521841570976253</v>
      </c>
      <c r="O14" s="24">
        <v>0.59400067408667145</v>
      </c>
      <c r="P14" s="24">
        <v>0.65695971539943587</v>
      </c>
      <c r="Q14" s="23">
        <v>1127.0101910496001</v>
      </c>
      <c r="R14" s="23">
        <v>778.92459665858678</v>
      </c>
      <c r="S14" s="25">
        <v>7.4282586597857536</v>
      </c>
      <c r="T14" s="23">
        <v>658.17965736385702</v>
      </c>
      <c r="U14" s="23">
        <v>457.03338806787082</v>
      </c>
      <c r="V14" s="23">
        <v>3573.5136966664058</v>
      </c>
      <c r="W14" s="23">
        <v>1115.1510412594159</v>
      </c>
      <c r="X14" s="25">
        <v>23.933196088673409</v>
      </c>
      <c r="Y14" s="23">
        <v>883.3755392162451</v>
      </c>
      <c r="Z14" s="25">
        <v>1.989258</v>
      </c>
    </row>
    <row r="15" spans="2:26" ht="18.95" customHeight="1" x14ac:dyDescent="0.25">
      <c r="B15" s="21">
        <v>8</v>
      </c>
      <c r="C15" s="22" t="s">
        <v>127</v>
      </c>
      <c r="D15" s="23">
        <v>1080598</v>
      </c>
      <c r="E15" s="24">
        <v>0.58445401216823745</v>
      </c>
      <c r="F15" s="24">
        <v>0.7534618468722567</v>
      </c>
      <c r="G15" s="24">
        <v>0.26929810628836021</v>
      </c>
      <c r="H15" s="24">
        <v>0.11028363636076779</v>
      </c>
      <c r="I15" s="24">
        <v>0.4778682752967508</v>
      </c>
      <c r="J15" s="24">
        <v>0.56853077204894464</v>
      </c>
      <c r="K15" s="24">
        <v>0.13753062520602419</v>
      </c>
      <c r="L15" s="24">
        <v>0.31142245536055368</v>
      </c>
      <c r="M15" s="24">
        <v>0.30526440424984341</v>
      </c>
      <c r="N15" s="24">
        <v>0.60839815165832534</v>
      </c>
      <c r="O15" s="24">
        <v>0.53330409126581102</v>
      </c>
      <c r="P15" s="24">
        <v>0.66271382200275331</v>
      </c>
      <c r="Q15" s="23">
        <v>1475.109152524805</v>
      </c>
      <c r="R15" s="23">
        <v>1109.4782703651131</v>
      </c>
      <c r="S15" s="25">
        <v>9.9944660271442292</v>
      </c>
      <c r="T15" s="23">
        <v>684.49110232812473</v>
      </c>
      <c r="U15" s="23">
        <v>551.5464585349963</v>
      </c>
      <c r="V15" s="23">
        <v>3425.047982691066</v>
      </c>
      <c r="W15" s="23">
        <v>1029.4300007958559</v>
      </c>
      <c r="X15" s="25">
        <v>38.589733811407328</v>
      </c>
      <c r="Y15" s="23">
        <v>1037.1411265907459</v>
      </c>
      <c r="Z15" s="25">
        <v>4.030691</v>
      </c>
    </row>
    <row r="16" spans="2:26" ht="18.95" customHeight="1" x14ac:dyDescent="0.25">
      <c r="B16" s="21">
        <v>9</v>
      </c>
      <c r="C16" s="22" t="s">
        <v>128</v>
      </c>
      <c r="D16" s="23">
        <v>391475</v>
      </c>
      <c r="E16" s="24">
        <v>0.2708793323927241</v>
      </c>
      <c r="F16" s="24">
        <v>0.76407955116852733</v>
      </c>
      <c r="G16" s="24">
        <v>0.43832993846388729</v>
      </c>
      <c r="H16" s="24">
        <v>6.63361484032782E-2</v>
      </c>
      <c r="I16" s="24">
        <v>0.39448610642829451</v>
      </c>
      <c r="J16" s="24">
        <v>0.52478815128533718</v>
      </c>
      <c r="K16" s="24">
        <v>0.16186334095618529</v>
      </c>
      <c r="L16" s="24">
        <v>0.28575537391311989</v>
      </c>
      <c r="M16" s="24">
        <v>0.23495799608067369</v>
      </c>
      <c r="N16" s="24">
        <v>0.41054385889933542</v>
      </c>
      <c r="O16" s="24">
        <v>0.68170454235548572</v>
      </c>
      <c r="P16" s="24">
        <v>0.58468734980089287</v>
      </c>
      <c r="Q16" s="23">
        <v>2511.0160291206339</v>
      </c>
      <c r="R16" s="23">
        <v>2011.622708985248</v>
      </c>
      <c r="S16" s="25">
        <v>7.1524362986142149</v>
      </c>
      <c r="T16" s="23">
        <v>930.11357328686802</v>
      </c>
      <c r="U16" s="23">
        <v>564.78702343700104</v>
      </c>
      <c r="V16" s="23">
        <v>3106.7117951337891</v>
      </c>
      <c r="W16" s="23">
        <v>824.82917172233215</v>
      </c>
      <c r="X16" s="25">
        <v>33.281002493481743</v>
      </c>
      <c r="Y16" s="23">
        <v>530.00206359332753</v>
      </c>
      <c r="Z16" s="25">
        <v>3.736148</v>
      </c>
    </row>
    <row r="17" spans="2:26" ht="18.95" customHeight="1" x14ac:dyDescent="0.25">
      <c r="B17" s="21">
        <v>10</v>
      </c>
      <c r="C17" s="22" t="s">
        <v>129</v>
      </c>
      <c r="D17" s="23">
        <v>827379</v>
      </c>
      <c r="E17" s="24">
        <v>0.49392230255605363</v>
      </c>
      <c r="F17" s="24">
        <v>0.72110266849624494</v>
      </c>
      <c r="G17" s="24">
        <v>0.40656198677392308</v>
      </c>
      <c r="H17" s="24">
        <v>7.9849894351573372E-2</v>
      </c>
      <c r="I17" s="24">
        <v>0.34010924908562068</v>
      </c>
      <c r="J17" s="24">
        <v>0.69942058930063022</v>
      </c>
      <c r="K17" s="24">
        <v>0.23889806793549451</v>
      </c>
      <c r="L17" s="24">
        <v>0.30940569397278</v>
      </c>
      <c r="M17" s="24">
        <v>0.2357455826565665</v>
      </c>
      <c r="N17" s="24">
        <v>0.59674447406486109</v>
      </c>
      <c r="O17" s="24">
        <v>0.55571942053002621</v>
      </c>
      <c r="P17" s="24">
        <v>0.65990170987347696</v>
      </c>
      <c r="Q17" s="23">
        <v>2046.824973802816</v>
      </c>
      <c r="R17" s="23">
        <v>1571.951910792998</v>
      </c>
      <c r="S17" s="25">
        <v>3.7467714312304281</v>
      </c>
      <c r="T17" s="23">
        <v>892.76921068483045</v>
      </c>
      <c r="U17" s="23">
        <v>840.8480273248415</v>
      </c>
      <c r="V17" s="23">
        <v>3422.4944070371621</v>
      </c>
      <c r="W17" s="23">
        <v>919.53022738068034</v>
      </c>
      <c r="X17" s="25">
        <v>35.880967347053222</v>
      </c>
      <c r="Y17" s="23">
        <v>1004.766667835136</v>
      </c>
      <c r="Z17" s="25">
        <v>7.6985999999999999</v>
      </c>
    </row>
    <row r="18" spans="2:26" ht="18.95" customHeight="1" x14ac:dyDescent="0.25">
      <c r="B18" s="21">
        <v>11</v>
      </c>
      <c r="C18" s="22" t="s">
        <v>130</v>
      </c>
      <c r="D18" s="23">
        <v>1246637</v>
      </c>
      <c r="E18" s="24">
        <v>0.40472663503935652</v>
      </c>
      <c r="F18" s="24">
        <v>0.84057323481204582</v>
      </c>
      <c r="G18" s="24">
        <v>0.48310234746551722</v>
      </c>
      <c r="H18" s="24">
        <v>0.12527842728683139</v>
      </c>
      <c r="I18" s="24">
        <v>0.2077094503381697</v>
      </c>
      <c r="J18" s="24">
        <v>0.82414961742412496</v>
      </c>
      <c r="K18" s="24">
        <v>0.11369968425599131</v>
      </c>
      <c r="L18" s="24">
        <v>0.41322986968289249</v>
      </c>
      <c r="M18" s="24">
        <v>0.2374442532913989</v>
      </c>
      <c r="N18" s="24">
        <v>0.56535054627442927</v>
      </c>
      <c r="O18" s="24">
        <v>0.71765813189083272</v>
      </c>
      <c r="P18" s="24">
        <v>0.63282326014057111</v>
      </c>
      <c r="Q18" s="23">
        <v>1424.5526163590521</v>
      </c>
      <c r="R18" s="23">
        <v>1125.1069878400849</v>
      </c>
      <c r="S18" s="25">
        <v>4.6525171320921812</v>
      </c>
      <c r="T18" s="23">
        <v>563.59066295131333</v>
      </c>
      <c r="U18" s="23">
        <v>609.88082336718708</v>
      </c>
      <c r="V18" s="23">
        <v>3154.3263997458762</v>
      </c>
      <c r="W18" s="23">
        <v>889.99444104418524</v>
      </c>
      <c r="X18" s="25">
        <v>100.5604777102165</v>
      </c>
      <c r="Y18" s="23">
        <v>428.35914248668769</v>
      </c>
      <c r="Z18" s="25">
        <v>3.9201869999999999</v>
      </c>
    </row>
    <row r="19" spans="2:26" ht="18.95" customHeight="1" x14ac:dyDescent="0.25">
      <c r="B19" s="21">
        <v>12</v>
      </c>
      <c r="C19" s="22" t="s">
        <v>131</v>
      </c>
      <c r="D19" s="23">
        <v>139756</v>
      </c>
      <c r="E19" s="24">
        <v>0.47263051557608132</v>
      </c>
      <c r="F19" s="24">
        <v>0.6234958017794181</v>
      </c>
      <c r="G19" s="24">
        <v>0.59285690024733939</v>
      </c>
      <c r="H19" s="24">
        <v>0.1093386576997353</v>
      </c>
      <c r="I19" s="24">
        <v>0.2594951312953816</v>
      </c>
      <c r="J19" s="24">
        <v>0.78898416354418144</v>
      </c>
      <c r="K19" s="24">
        <v>0.1466462000648858</v>
      </c>
      <c r="L19" s="24">
        <v>0.32071023192245568</v>
      </c>
      <c r="M19" s="24">
        <v>0.2078732626644432</v>
      </c>
      <c r="N19" s="24">
        <v>0.4689085873554486</v>
      </c>
      <c r="O19" s="24">
        <v>0.59164683305210686</v>
      </c>
      <c r="P19" s="24">
        <v>0.61494635102635198</v>
      </c>
      <c r="Q19" s="23">
        <v>4387.647041987464</v>
      </c>
      <c r="R19" s="23">
        <v>3713.6151578465328</v>
      </c>
      <c r="S19" s="25">
        <v>10.01745899997138</v>
      </c>
      <c r="T19" s="23">
        <v>1263.1005852728999</v>
      </c>
      <c r="U19" s="23">
        <v>1325.1667191390709</v>
      </c>
      <c r="V19" s="23">
        <v>4823.4065084862186</v>
      </c>
      <c r="W19" s="23">
        <v>1087.6098342826069</v>
      </c>
      <c r="X19" s="25">
        <v>11.903448204869379</v>
      </c>
      <c r="Y19" s="23">
        <v>985.26072430023999</v>
      </c>
      <c r="Z19" s="25">
        <v>12.228706000000001</v>
      </c>
    </row>
    <row r="20" spans="2:26" ht="18.95" customHeight="1" x14ac:dyDescent="0.25">
      <c r="B20" s="21">
        <v>13</v>
      </c>
      <c r="C20" s="22" t="s">
        <v>132</v>
      </c>
      <c r="D20" s="23">
        <v>157566</v>
      </c>
      <c r="E20" s="24">
        <v>0.37538181843024382</v>
      </c>
      <c r="F20" s="24">
        <v>0.66194766360677659</v>
      </c>
      <c r="G20" s="24">
        <v>0.40801568920812409</v>
      </c>
      <c r="H20" s="24">
        <v>9.139284752098159E-2</v>
      </c>
      <c r="I20" s="24">
        <v>0.32443705513752957</v>
      </c>
      <c r="J20" s="24">
        <v>0.59523719495670746</v>
      </c>
      <c r="K20" s="24">
        <v>0.1393051091779457</v>
      </c>
      <c r="L20" s="24">
        <v>0.36737128369286742</v>
      </c>
      <c r="M20" s="24">
        <v>0.3655696724649371</v>
      </c>
      <c r="N20" s="24">
        <v>0.43942486367623379</v>
      </c>
      <c r="O20" s="24">
        <v>0.56679505071847347</v>
      </c>
      <c r="P20" s="24">
        <v>0.59157983984186746</v>
      </c>
      <c r="Q20" s="23">
        <v>6226.5971085132578</v>
      </c>
      <c r="R20" s="23">
        <v>5592.5770788114187</v>
      </c>
      <c r="S20" s="25">
        <v>4.442582790703578</v>
      </c>
      <c r="T20" s="23">
        <v>1161.9326500732061</v>
      </c>
      <c r="U20" s="23">
        <v>905.01757993475758</v>
      </c>
      <c r="V20" s="23">
        <v>4201.4140106368131</v>
      </c>
      <c r="W20" s="23">
        <v>861.86106139649416</v>
      </c>
      <c r="X20" s="25">
        <v>14.19316812753916</v>
      </c>
      <c r="Y20" s="23">
        <v>1017.531806163701</v>
      </c>
      <c r="Z20" s="25">
        <v>11.017979</v>
      </c>
    </row>
    <row r="21" spans="2:26" ht="18.95" customHeight="1" x14ac:dyDescent="0.25">
      <c r="B21" s="21">
        <v>14</v>
      </c>
      <c r="C21" s="22" t="s">
        <v>133</v>
      </c>
      <c r="D21" s="23">
        <v>83987</v>
      </c>
      <c r="E21" s="24">
        <v>0.39738312042184598</v>
      </c>
      <c r="F21" s="24">
        <v>0.77450121542838923</v>
      </c>
      <c r="G21" s="24">
        <v>0.31958764967236719</v>
      </c>
      <c r="H21" s="24">
        <v>0.11020573116383769</v>
      </c>
      <c r="I21" s="24">
        <v>0.51928492229205248</v>
      </c>
      <c r="J21" s="24">
        <v>0.46757568406861871</v>
      </c>
      <c r="K21" s="24">
        <v>0.2339271249658666</v>
      </c>
      <c r="L21" s="24">
        <v>0.43650103356218101</v>
      </c>
      <c r="M21" s="24">
        <v>0.27302391437815449</v>
      </c>
      <c r="N21" s="24">
        <v>0.64082732604447001</v>
      </c>
      <c r="O21" s="24">
        <v>0.60058429143489056</v>
      </c>
      <c r="P21" s="24">
        <v>0.60726843758615301</v>
      </c>
      <c r="Q21" s="23">
        <v>7609.5109957493423</v>
      </c>
      <c r="R21" s="23">
        <v>6412.8972340957534</v>
      </c>
      <c r="S21" s="25">
        <v>34.529153321347351</v>
      </c>
      <c r="T21" s="23">
        <v>2158.384749773325</v>
      </c>
      <c r="U21" s="23">
        <v>1458.559062712086</v>
      </c>
      <c r="V21" s="23">
        <v>6818.912450736424</v>
      </c>
      <c r="W21" s="23">
        <v>1565.718504054199</v>
      </c>
      <c r="X21" s="25">
        <v>6.5140462604008471</v>
      </c>
      <c r="Y21" s="23">
        <v>1126.4887762016681</v>
      </c>
      <c r="Z21" s="25">
        <v>2.6514690000000001</v>
      </c>
    </row>
    <row r="22" spans="2:26" ht="18.95" customHeight="1" x14ac:dyDescent="0.25">
      <c r="B22" s="21">
        <v>15</v>
      </c>
      <c r="C22" s="22" t="s">
        <v>134</v>
      </c>
      <c r="D22" s="23">
        <v>79758</v>
      </c>
      <c r="E22" s="24">
        <v>0.49292850510122449</v>
      </c>
      <c r="F22" s="24">
        <v>0.74258285730189799</v>
      </c>
      <c r="G22" s="24">
        <v>0.29532617911645842</v>
      </c>
      <c r="H22" s="24">
        <v>8.1026760017062618E-2</v>
      </c>
      <c r="I22" s="24">
        <v>0.43633605096670097</v>
      </c>
      <c r="J22" s="24">
        <v>0.4539254195732168</v>
      </c>
      <c r="K22" s="24">
        <v>0.21522682647007571</v>
      </c>
      <c r="L22" s="24">
        <v>0.30633098308490769</v>
      </c>
      <c r="M22" s="24">
        <v>0.22385231666322439</v>
      </c>
      <c r="N22" s="24">
        <v>0.5417772282579606</v>
      </c>
      <c r="O22" s="24">
        <v>0.69361072623765663</v>
      </c>
      <c r="P22" s="24">
        <v>0.63763574687597402</v>
      </c>
      <c r="Q22" s="23">
        <v>3678.6278492439628</v>
      </c>
      <c r="R22" s="23">
        <v>3128.2128438526538</v>
      </c>
      <c r="S22" s="25">
        <v>8.7765490609092502</v>
      </c>
      <c r="T22" s="23">
        <v>1018.387553041018</v>
      </c>
      <c r="U22" s="23">
        <v>1001.780385666642</v>
      </c>
      <c r="V22" s="23">
        <v>5421.399734195943</v>
      </c>
      <c r="W22" s="23">
        <v>1214.925148574438</v>
      </c>
      <c r="X22" s="25">
        <v>4.8795433864294004</v>
      </c>
      <c r="Y22" s="23">
        <v>1159.9445996814261</v>
      </c>
      <c r="Z22" s="25">
        <v>3.5362100000000001</v>
      </c>
    </row>
    <row r="23" spans="2:26" ht="18.95" customHeight="1" x14ac:dyDescent="0.25">
      <c r="B23" s="21">
        <v>16</v>
      </c>
      <c r="C23" s="22" t="s">
        <v>135</v>
      </c>
      <c r="D23" s="23">
        <v>251711</v>
      </c>
      <c r="E23" s="24">
        <v>0.4517257906024511</v>
      </c>
      <c r="F23" s="24">
        <v>0.61232444060113789</v>
      </c>
      <c r="G23" s="24">
        <v>0.34257918875226129</v>
      </c>
      <c r="H23" s="24">
        <v>0.11348890023321349</v>
      </c>
      <c r="I23" s="24">
        <v>0.32601918160054433</v>
      </c>
      <c r="J23" s="24">
        <v>0.52138627531293857</v>
      </c>
      <c r="K23" s="24">
        <v>0.22100901275069179</v>
      </c>
      <c r="L23" s="24">
        <v>0.31344912630143229</v>
      </c>
      <c r="M23" s="24">
        <v>0.25389649542921428</v>
      </c>
      <c r="N23" s="24">
        <v>0.54763700767259893</v>
      </c>
      <c r="O23" s="24">
        <v>0.62399224312803281</v>
      </c>
      <c r="P23" s="24">
        <v>0.78868166281641683</v>
      </c>
      <c r="Q23" s="23">
        <v>3763.4429961344558</v>
      </c>
      <c r="R23" s="23">
        <v>2972.0592266527879</v>
      </c>
      <c r="S23" s="25">
        <v>9.1374632018465647</v>
      </c>
      <c r="T23" s="23">
        <v>1530.187990083698</v>
      </c>
      <c r="U23" s="23">
        <v>781.05446325349305</v>
      </c>
      <c r="V23" s="23">
        <v>3753.9082519238341</v>
      </c>
      <c r="W23" s="23">
        <v>939.17230474631617</v>
      </c>
      <c r="X23" s="25">
        <v>17.311149936260449</v>
      </c>
      <c r="Y23" s="23">
        <v>1076.9937334404181</v>
      </c>
      <c r="Z23" s="25">
        <v>4.7973480000000004</v>
      </c>
    </row>
    <row r="24" spans="2:26" ht="18.95" customHeight="1" x14ac:dyDescent="0.25">
      <c r="B24" s="21">
        <v>17</v>
      </c>
      <c r="C24" s="22" t="s">
        <v>136</v>
      </c>
      <c r="D24" s="23">
        <v>16801</v>
      </c>
      <c r="E24" s="24">
        <v>0.61038163985095628</v>
      </c>
      <c r="F24" s="24">
        <v>0.76887400515055271</v>
      </c>
      <c r="G24" s="24">
        <v>0.20354650668377361</v>
      </c>
      <c r="H24" s="24">
        <v>9.4494324903989832E-2</v>
      </c>
      <c r="I24" s="24">
        <v>0.71276080840975031</v>
      </c>
      <c r="J24" s="24">
        <v>0.40064349236524449</v>
      </c>
      <c r="K24" s="24">
        <v>0.22510095378074971</v>
      </c>
      <c r="L24" s="24">
        <v>0.37855876563142588</v>
      </c>
      <c r="M24" s="24">
        <v>0.20251544658713941</v>
      </c>
      <c r="N24" s="24">
        <v>0.52600868968168402</v>
      </c>
      <c r="O24" s="24">
        <v>0.51895432674737541</v>
      </c>
      <c r="P24" s="24">
        <v>0.68539890088284794</v>
      </c>
      <c r="Q24" s="23">
        <v>11350.51485030653</v>
      </c>
      <c r="R24" s="23">
        <v>10136.30141063032</v>
      </c>
      <c r="S24" s="25">
        <v>5.95202666507946</v>
      </c>
      <c r="T24" s="23">
        <v>2503.700049333991</v>
      </c>
      <c r="U24" s="23">
        <v>1351.1100529730379</v>
      </c>
      <c r="V24" s="23">
        <v>6946.0151181477286</v>
      </c>
      <c r="W24" s="23">
        <v>1559.430986250818</v>
      </c>
      <c r="X24" s="25">
        <v>2.0602429204769548</v>
      </c>
      <c r="Y24" s="23">
        <v>1444.004476574672</v>
      </c>
      <c r="Z24" s="25">
        <v>5.4525880000000004</v>
      </c>
    </row>
    <row r="25" spans="2:26" ht="18.95" customHeight="1" x14ac:dyDescent="0.25">
      <c r="B25" s="21">
        <v>18</v>
      </c>
      <c r="C25" s="22" t="s">
        <v>137</v>
      </c>
      <c r="D25" s="23">
        <v>379109</v>
      </c>
      <c r="E25" s="24">
        <v>0.49708091818111833</v>
      </c>
      <c r="F25" s="24">
        <v>0.7211767997620443</v>
      </c>
      <c r="G25" s="24">
        <v>0.2219335050993746</v>
      </c>
      <c r="H25" s="24">
        <v>0.187239124238302</v>
      </c>
      <c r="I25" s="24">
        <v>0.35136151006867999</v>
      </c>
      <c r="J25" s="24">
        <v>0.54614734844917878</v>
      </c>
      <c r="K25" s="24">
        <v>0.17104380030386401</v>
      </c>
      <c r="L25" s="24">
        <v>0.43873594714512348</v>
      </c>
      <c r="M25" s="24">
        <v>0.22563913680226591</v>
      </c>
      <c r="N25" s="24">
        <v>0.66883818902227476</v>
      </c>
      <c r="O25" s="24">
        <v>0.71515348248939214</v>
      </c>
      <c r="P25" s="24">
        <v>0.5824005147223551</v>
      </c>
      <c r="Q25" s="23">
        <v>1542.3004993286891</v>
      </c>
      <c r="R25" s="23">
        <v>1098.6286265955171</v>
      </c>
      <c r="S25" s="25">
        <v>13.716371808635509</v>
      </c>
      <c r="T25" s="23">
        <v>843.20957637771653</v>
      </c>
      <c r="U25" s="23">
        <v>965.15777784225645</v>
      </c>
      <c r="V25" s="23">
        <v>4276.0789113421206</v>
      </c>
      <c r="W25" s="23">
        <v>1332.3345001041921</v>
      </c>
      <c r="X25" s="25">
        <v>13.83408480651614</v>
      </c>
      <c r="Y25" s="23">
        <v>1192.489436831381</v>
      </c>
      <c r="Z25" s="25">
        <v>3.150236</v>
      </c>
    </row>
    <row r="26" spans="2:26" ht="18.95" customHeight="1" x14ac:dyDescent="0.25">
      <c r="B26" s="21">
        <v>19</v>
      </c>
      <c r="C26" s="22" t="s">
        <v>138</v>
      </c>
      <c r="D26" s="23">
        <v>680206</v>
      </c>
      <c r="E26" s="24">
        <v>0.65391229783080329</v>
      </c>
      <c r="F26" s="24">
        <v>0.60831585102634322</v>
      </c>
      <c r="G26" s="24">
        <v>0.23649468478320579</v>
      </c>
      <c r="H26" s="24">
        <v>0.1056295392016111</v>
      </c>
      <c r="I26" s="24">
        <v>0.60960521594266803</v>
      </c>
      <c r="J26" s="24">
        <v>0.646837594565426</v>
      </c>
      <c r="K26" s="24">
        <v>0.38839318220803121</v>
      </c>
      <c r="L26" s="24">
        <v>0.5199821974109532</v>
      </c>
      <c r="M26" s="24">
        <v>0.2247944396496864</v>
      </c>
      <c r="N26" s="24">
        <v>0.59968204034829209</v>
      </c>
      <c r="O26" s="24">
        <v>0.56712704027231831</v>
      </c>
      <c r="P26" s="24">
        <v>0.65615342802849963</v>
      </c>
      <c r="Q26" s="23">
        <v>1444.1213397117931</v>
      </c>
      <c r="R26" s="23">
        <v>803.43307762648374</v>
      </c>
      <c r="S26" s="25">
        <v>24.84541447737891</v>
      </c>
      <c r="T26" s="23">
        <v>1210.8021238897129</v>
      </c>
      <c r="U26" s="23">
        <v>440.60181768464258</v>
      </c>
      <c r="V26" s="23">
        <v>3611.4059564308459</v>
      </c>
      <c r="W26" s="23">
        <v>1220.2185808416859</v>
      </c>
      <c r="X26" s="25">
        <v>130.00259308261391</v>
      </c>
      <c r="Y26" s="23">
        <v>207.1035612565849</v>
      </c>
      <c r="Z26" s="25">
        <v>3.8214480000000002</v>
      </c>
    </row>
    <row r="28" spans="2:26" ht="31.15" customHeight="1" x14ac:dyDescent="0.25">
      <c r="B28" s="129" t="s">
        <v>139</v>
      </c>
      <c r="C28" s="83"/>
      <c r="D28" s="83"/>
      <c r="E28" s="83"/>
      <c r="F28" s="83"/>
      <c r="G28" s="83"/>
      <c r="H28" s="83"/>
      <c r="I28" s="83"/>
      <c r="J28" s="83"/>
      <c r="K28" s="83"/>
      <c r="L28" s="83"/>
      <c r="M28" s="83"/>
      <c r="N28" s="83"/>
    </row>
    <row r="29" spans="2:26" ht="31.15" customHeight="1" x14ac:dyDescent="0.25">
      <c r="B29" s="129" t="s">
        <v>140</v>
      </c>
      <c r="C29" s="83"/>
      <c r="D29" s="83"/>
      <c r="E29" s="83"/>
      <c r="F29" s="83"/>
      <c r="G29" s="83"/>
      <c r="H29" s="83"/>
      <c r="I29" s="83"/>
      <c r="J29" s="83"/>
      <c r="K29" s="83"/>
      <c r="L29" s="83"/>
      <c r="M29" s="83"/>
      <c r="N29" s="83"/>
    </row>
  </sheetData>
  <mergeCells count="9">
    <mergeCell ref="B1:Y1"/>
    <mergeCell ref="B6:D6"/>
    <mergeCell ref="Q6:W6"/>
    <mergeCell ref="B28:N28"/>
    <mergeCell ref="X6:Z6"/>
    <mergeCell ref="E6:H6"/>
    <mergeCell ref="I6:L6"/>
    <mergeCell ref="M6:P6"/>
    <mergeCell ref="B29:N29"/>
  </mergeCells>
  <conditionalFormatting sqref="D8:D26">
    <cfRule type="dataBar" priority="1">
      <dataBar>
        <cfvo type="num" val="0"/>
        <cfvo type="max"/>
        <color rgb="FFC9C9C9"/>
      </dataBar>
      <extLst>
        <ext xmlns:x14="http://schemas.microsoft.com/office/spreadsheetml/2009/9/main" uri="{B025F937-C7B1-47D3-B67F-A62EFF666E3E}">
          <x14:id>{00000000-000E-0000-0200-000001000000}</x14:id>
        </ext>
      </extLst>
    </cfRule>
  </conditionalFormatting>
  <conditionalFormatting sqref="E8:E26">
    <cfRule type="colorScale" priority="2">
      <colorScale>
        <cfvo type="min"/>
        <cfvo type="percentile" val="50"/>
        <cfvo type="max"/>
        <color rgb="FFFFF5DB"/>
        <color rgb="FFFADD95"/>
        <color rgb="FFF0BF4F"/>
      </colorScale>
    </cfRule>
  </conditionalFormatting>
  <conditionalFormatting sqref="F8:F26">
    <cfRule type="colorScale" priority="3">
      <colorScale>
        <cfvo type="min"/>
        <cfvo type="percentile" val="50"/>
        <cfvo type="max"/>
        <color rgb="FFFFF5DB"/>
        <color rgb="FFFADD95"/>
        <color rgb="FFF0BF4F"/>
      </colorScale>
    </cfRule>
  </conditionalFormatting>
  <conditionalFormatting sqref="G8:G26">
    <cfRule type="colorScale" priority="4">
      <colorScale>
        <cfvo type="min"/>
        <cfvo type="percentile" val="50"/>
        <cfvo type="max"/>
        <color rgb="FFFFF5DB"/>
        <color rgb="FFFADD95"/>
        <color rgb="FFF0BF4F"/>
      </colorScale>
    </cfRule>
  </conditionalFormatting>
  <conditionalFormatting sqref="H8:H26">
    <cfRule type="colorScale" priority="5">
      <colorScale>
        <cfvo type="min"/>
        <cfvo type="percentile" val="50"/>
        <cfvo type="max"/>
        <color rgb="FFFFF5DB"/>
        <color rgb="FFFADD95"/>
        <color rgb="FFF0BF4F"/>
      </colorScale>
    </cfRule>
  </conditionalFormatting>
  <conditionalFormatting sqref="I8:I26">
    <cfRule type="colorScale" priority="6">
      <colorScale>
        <cfvo type="min"/>
        <cfvo type="percentile" val="50"/>
        <cfvo type="max"/>
        <color rgb="FFFFF5DB"/>
        <color rgb="FFFADD95"/>
        <color rgb="FFF0BF4F"/>
      </colorScale>
    </cfRule>
  </conditionalFormatting>
  <conditionalFormatting sqref="J8:J26">
    <cfRule type="colorScale" priority="7">
      <colorScale>
        <cfvo type="min"/>
        <cfvo type="percentile" val="50"/>
        <cfvo type="max"/>
        <color rgb="FFFFF5DB"/>
        <color rgb="FFFADD95"/>
        <color rgb="FFF0BF4F"/>
      </colorScale>
    </cfRule>
  </conditionalFormatting>
  <conditionalFormatting sqref="K8:K26">
    <cfRule type="colorScale" priority="8">
      <colorScale>
        <cfvo type="min"/>
        <cfvo type="percentile" val="50"/>
        <cfvo type="max"/>
        <color rgb="FFFFF5DB"/>
        <color rgb="FFFADD95"/>
        <color rgb="FFF0BF4F"/>
      </colorScale>
    </cfRule>
  </conditionalFormatting>
  <conditionalFormatting sqref="L8:L26">
    <cfRule type="colorScale" priority="9">
      <colorScale>
        <cfvo type="min"/>
        <cfvo type="percentile" val="50"/>
        <cfvo type="max"/>
        <color rgb="FFFFF5DB"/>
        <color rgb="FFFADD95"/>
        <color rgb="FFF0BF4F"/>
      </colorScale>
    </cfRule>
  </conditionalFormatting>
  <conditionalFormatting sqref="M8:M26">
    <cfRule type="colorScale" priority="10">
      <colorScale>
        <cfvo type="min"/>
        <cfvo type="percentile" val="50"/>
        <cfvo type="max"/>
        <color rgb="FFFFF5DB"/>
        <color rgb="FFFADD95"/>
        <color rgb="FFF0BF4F"/>
      </colorScale>
    </cfRule>
  </conditionalFormatting>
  <conditionalFormatting sqref="N8:N26">
    <cfRule type="colorScale" priority="11">
      <colorScale>
        <cfvo type="min"/>
        <cfvo type="percentile" val="50"/>
        <cfvo type="max"/>
        <color rgb="FFFFF5DB"/>
        <color rgb="FFFADD95"/>
        <color rgb="FFF0BF4F"/>
      </colorScale>
    </cfRule>
  </conditionalFormatting>
  <conditionalFormatting sqref="O8:O26">
    <cfRule type="colorScale" priority="12">
      <colorScale>
        <cfvo type="min"/>
        <cfvo type="percentile" val="50"/>
        <cfvo type="max"/>
        <color rgb="FFFFF5DB"/>
        <color rgb="FFFADD95"/>
        <color rgb="FFF0BF4F"/>
      </colorScale>
    </cfRule>
  </conditionalFormatting>
  <conditionalFormatting sqref="P8:P26">
    <cfRule type="colorScale" priority="13">
      <colorScale>
        <cfvo type="min"/>
        <cfvo type="percentile" val="50"/>
        <cfvo type="max"/>
        <color rgb="FFFFF5DB"/>
        <color rgb="FFFADD95"/>
        <color rgb="FFF0BF4F"/>
      </colorScale>
    </cfRule>
  </conditionalFormatting>
  <conditionalFormatting sqref="Q8:Q26">
    <cfRule type="colorScale" priority="14">
      <colorScale>
        <cfvo type="min"/>
        <cfvo type="percentile" val="50"/>
        <cfvo type="max"/>
        <color rgb="FFDDE7F8"/>
        <color rgb="FFA9C1EE"/>
        <color rgb="FF6D95E0"/>
      </colorScale>
    </cfRule>
  </conditionalFormatting>
  <conditionalFormatting sqref="R8:R26">
    <cfRule type="colorScale" priority="15">
      <colorScale>
        <cfvo type="min"/>
        <cfvo type="percentile" val="50"/>
        <cfvo type="max"/>
        <color rgb="FFDDE7F8"/>
        <color rgb="FFA9C1EE"/>
        <color rgb="FF6D95E0"/>
      </colorScale>
    </cfRule>
  </conditionalFormatting>
  <conditionalFormatting sqref="S8:S26">
    <cfRule type="colorScale" priority="16">
      <colorScale>
        <cfvo type="min"/>
        <cfvo type="percentile" val="50"/>
        <cfvo type="max"/>
        <color rgb="FFDDE7F8"/>
        <color rgb="FFA9C1EE"/>
        <color rgb="FF6D95E0"/>
      </colorScale>
    </cfRule>
  </conditionalFormatting>
  <conditionalFormatting sqref="T8:T26">
    <cfRule type="colorScale" priority="17">
      <colorScale>
        <cfvo type="min"/>
        <cfvo type="percentile" val="50"/>
        <cfvo type="max"/>
        <color rgb="FFDDE7F8"/>
        <color rgb="FFA9C1EE"/>
        <color rgb="FF6D95E0"/>
      </colorScale>
    </cfRule>
  </conditionalFormatting>
  <conditionalFormatting sqref="U8:U26">
    <cfRule type="colorScale" priority="18">
      <colorScale>
        <cfvo type="min"/>
        <cfvo type="percentile" val="50"/>
        <cfvo type="max"/>
        <color rgb="FFDDE7F8"/>
        <color rgb="FFA9C1EE"/>
        <color rgb="FF6D95E0"/>
      </colorScale>
    </cfRule>
  </conditionalFormatting>
  <conditionalFormatting sqref="V8:V26">
    <cfRule type="colorScale" priority="19">
      <colorScale>
        <cfvo type="min"/>
        <cfvo type="percentile" val="50"/>
        <cfvo type="max"/>
        <color rgb="FFDDE7F8"/>
        <color rgb="FFA9C1EE"/>
        <color rgb="FF6D95E0"/>
      </colorScale>
    </cfRule>
  </conditionalFormatting>
  <conditionalFormatting sqref="W8:W26">
    <cfRule type="colorScale" priority="20">
      <colorScale>
        <cfvo type="min"/>
        <cfvo type="percentile" val="50"/>
        <cfvo type="max"/>
        <color rgb="FFDDE7F8"/>
        <color rgb="FFA9C1EE"/>
        <color rgb="FF6D95E0"/>
      </colorScale>
    </cfRule>
  </conditionalFormatting>
  <hyperlinks>
    <hyperlink ref="Z1" location="'Portada'!A1" display="← Portada" xr:uid="{00000000-0004-0000-02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0000000-000E-0000-0200-000001000000}">
            <x14:dataBar minLength="0" maxLength="100" negativeBarColorSameAsPositive="1" axisPosition="none">
              <x14:cfvo type="num">
                <xm:f>0</xm:f>
              </x14:cfvo>
              <x14:cfvo type="max"/>
            </x14:dataBar>
          </x14:cfRule>
          <xm:sqref>D8:D26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B0F24"/>
    <pageSetUpPr fitToPage="1"/>
  </sheetPr>
  <dimension ref="B1:R29"/>
  <sheetViews>
    <sheetView showGridLines="0" zoomScale="90" workbookViewId="0">
      <pane xSplit="4" ySplit="7" topLeftCell="E8" activePane="bottomRight" state="frozen"/>
      <selection pane="topRight"/>
      <selection pane="bottomLeft"/>
      <selection pane="bottomRight"/>
    </sheetView>
  </sheetViews>
  <sheetFormatPr baseColWidth="10" defaultColWidth="9.140625" defaultRowHeight="15" x14ac:dyDescent="0.25"/>
  <cols>
    <col min="1" max="1" width="2.42578125" customWidth="1"/>
    <col min="2" max="3" width="8" customWidth="1"/>
    <col min="4" max="4" width="20" customWidth="1"/>
    <col min="5" max="5" width="11" customWidth="1"/>
    <col min="6" max="6" width="13" customWidth="1"/>
    <col min="7" max="7" width="10" customWidth="1"/>
    <col min="8" max="9" width="11" customWidth="1"/>
    <col min="10" max="10" width="10" customWidth="1"/>
    <col min="11" max="12" width="11" customWidth="1"/>
    <col min="13" max="13" width="12" customWidth="1"/>
    <col min="14" max="14" width="11" customWidth="1"/>
    <col min="15" max="15" width="30" customWidth="1"/>
    <col min="16" max="16" width="3" customWidth="1"/>
    <col min="17" max="18" width="10" customWidth="1"/>
  </cols>
  <sheetData>
    <row r="1" spans="2:18" ht="20.100000000000001" customHeight="1" x14ac:dyDescent="0.25">
      <c r="B1" s="116" t="s">
        <v>49</v>
      </c>
      <c r="C1" s="83"/>
      <c r="D1" s="83"/>
      <c r="E1" s="83"/>
      <c r="F1" s="83"/>
      <c r="G1" s="83"/>
      <c r="H1" s="83"/>
      <c r="I1" s="83"/>
      <c r="J1" s="83"/>
      <c r="K1" s="83"/>
      <c r="L1" s="83"/>
      <c r="M1" s="83"/>
      <c r="N1" s="83"/>
      <c r="O1" s="14" t="s">
        <v>50</v>
      </c>
    </row>
    <row r="2" spans="2:18" ht="30" customHeight="1" x14ac:dyDescent="0.25">
      <c r="B2" s="15" t="s">
        <v>141</v>
      </c>
    </row>
    <row r="3" spans="2:18" ht="20.100000000000001" customHeight="1" x14ac:dyDescent="0.25">
      <c r="B3" s="16" t="s">
        <v>142</v>
      </c>
    </row>
    <row r="4" spans="2:18" ht="3" customHeight="1" x14ac:dyDescent="0.25">
      <c r="B4" s="2"/>
      <c r="C4" s="2"/>
      <c r="D4" s="2"/>
      <c r="E4" s="2"/>
      <c r="F4" s="2"/>
      <c r="G4" s="2"/>
      <c r="H4" s="2"/>
      <c r="I4" s="2"/>
      <c r="J4" s="2"/>
      <c r="K4" s="2"/>
      <c r="L4" s="2"/>
      <c r="M4" s="2"/>
      <c r="N4" s="2"/>
      <c r="O4" s="2"/>
    </row>
    <row r="5" spans="2:18" ht="9.9499999999999993" customHeight="1" x14ac:dyDescent="0.25"/>
    <row r="7" spans="2:18" ht="45.95" customHeight="1" x14ac:dyDescent="0.25">
      <c r="B7" s="20" t="s">
        <v>82</v>
      </c>
      <c r="C7" s="20" t="s">
        <v>96</v>
      </c>
      <c r="D7" s="20" t="s">
        <v>83</v>
      </c>
      <c r="E7" s="20" t="s">
        <v>98</v>
      </c>
      <c r="F7" s="20" t="s">
        <v>143</v>
      </c>
      <c r="G7" s="20" t="s">
        <v>144</v>
      </c>
      <c r="H7" s="20" t="s">
        <v>145</v>
      </c>
      <c r="I7" s="20" t="s">
        <v>146</v>
      </c>
      <c r="J7" s="20" t="s">
        <v>147</v>
      </c>
      <c r="K7" s="20" t="s">
        <v>148</v>
      </c>
      <c r="L7" s="20" t="s">
        <v>149</v>
      </c>
      <c r="M7" s="20" t="s">
        <v>150</v>
      </c>
      <c r="N7" s="20" t="s">
        <v>151</v>
      </c>
      <c r="O7" s="20" t="s">
        <v>152</v>
      </c>
      <c r="Q7" s="26" t="s">
        <v>153</v>
      </c>
      <c r="R7" s="26" t="s">
        <v>154</v>
      </c>
    </row>
    <row r="8" spans="2:18" ht="18.95" customHeight="1" x14ac:dyDescent="0.25">
      <c r="B8" s="21">
        <v>1</v>
      </c>
      <c r="C8" s="21">
        <v>5</v>
      </c>
      <c r="D8" s="22" t="s">
        <v>124</v>
      </c>
      <c r="E8" s="24">
        <f>INDEX(Panel_localidad!$E$8:$E$26,MATCH(C8,Panel_localidad!$B$8:$B$26,0))</f>
        <v>0.64641785456913581</v>
      </c>
      <c r="F8" s="23">
        <f>INDEX(Panel_localidad!$Q$8:$Q$26,MATCH(C8,Panel_localidad!$B$8:$B$26,0))</f>
        <v>1082.758466724712</v>
      </c>
      <c r="G8" s="27">
        <f t="shared" ref="G8:G26" si="0">LN(F8)</f>
        <v>6.9872671997129387</v>
      </c>
      <c r="H8" s="28">
        <f t="shared" ref="H8:H26" si="1">STANDARDIZE(E8,AVERAGE($E$8:$E$26),STDEV($E$8:$E$26))</f>
        <v>1.3952310404382788</v>
      </c>
      <c r="I8" s="28">
        <f t="shared" ref="I8:I26" si="2">STANDARDIZE(G8,AVERAGE($G$8:$G$26),STDEV($G$8:$G$26))</f>
        <v>-1.2719999477982999</v>
      </c>
      <c r="J8" s="29">
        <f t="shared" ref="J8:J26" si="3">H8-I8</f>
        <v>2.6672309882365788</v>
      </c>
      <c r="K8" s="28">
        <v>2.2291947626478792</v>
      </c>
      <c r="L8" s="28">
        <v>2.9840342737760368</v>
      </c>
      <c r="M8" s="21" t="s">
        <v>155</v>
      </c>
      <c r="N8" s="24">
        <v>1</v>
      </c>
      <c r="O8" s="22" t="str">
        <f t="shared" ref="O8:O26" si="4">IF(J8&gt;0,"Más miedo que delito registrado","Menos miedo que delito registrado")</f>
        <v>Más miedo que delito registrado</v>
      </c>
      <c r="Q8" s="30">
        <f t="shared" ref="Q8:Q26" si="5">L8-J8</f>
        <v>0.31680328553945802</v>
      </c>
      <c r="R8" s="30">
        <f t="shared" ref="R8:R26" si="6">J8-K8</f>
        <v>0.43803622558869959</v>
      </c>
    </row>
    <row r="9" spans="2:18" ht="18.95" customHeight="1" x14ac:dyDescent="0.25">
      <c r="B9" s="21">
        <v>2</v>
      </c>
      <c r="C9" s="21">
        <v>19</v>
      </c>
      <c r="D9" s="22" t="s">
        <v>138</v>
      </c>
      <c r="E9" s="24">
        <f>INDEX(Panel_localidad!$E$8:$E$26,MATCH(C9,Panel_localidad!$B$8:$B$26,0))</f>
        <v>0.65391229783080329</v>
      </c>
      <c r="F9" s="23">
        <f>INDEX(Panel_localidad!$Q$8:$Q$26,MATCH(C9,Panel_localidad!$B$8:$B$26,0))</f>
        <v>1444.1213397117931</v>
      </c>
      <c r="G9" s="27">
        <f t="shared" si="0"/>
        <v>7.2752563461937507</v>
      </c>
      <c r="H9" s="28">
        <f t="shared" si="1"/>
        <v>1.4591458801498762</v>
      </c>
      <c r="I9" s="28">
        <f t="shared" si="2"/>
        <v>-0.87915251210596057</v>
      </c>
      <c r="J9" s="29">
        <f t="shared" si="3"/>
        <v>2.3382983922558367</v>
      </c>
      <c r="K9" s="28">
        <v>1.9384041858082961</v>
      </c>
      <c r="L9" s="28">
        <v>2.614699833208213</v>
      </c>
      <c r="M9" s="21" t="s">
        <v>156</v>
      </c>
      <c r="N9" s="24">
        <v>1</v>
      </c>
      <c r="O9" s="22" t="str">
        <f t="shared" si="4"/>
        <v>Más miedo que delito registrado</v>
      </c>
      <c r="Q9" s="30">
        <f t="shared" si="5"/>
        <v>0.27640144095237629</v>
      </c>
      <c r="R9" s="30">
        <f t="shared" si="6"/>
        <v>0.39989420644754059</v>
      </c>
    </row>
    <row r="10" spans="2:18" ht="18.95" customHeight="1" x14ac:dyDescent="0.25">
      <c r="B10" s="21">
        <v>3</v>
      </c>
      <c r="C10" s="21">
        <v>7</v>
      </c>
      <c r="D10" s="22" t="s">
        <v>126</v>
      </c>
      <c r="E10" s="24">
        <f>INDEX(Panel_localidad!$E$8:$E$26,MATCH(C10,Panel_localidad!$B$8:$B$26,0))</f>
        <v>0.57061376678171205</v>
      </c>
      <c r="F10" s="23">
        <f>INDEX(Panel_localidad!$Q$8:$Q$26,MATCH(C10,Panel_localidad!$B$8:$B$26,0))</f>
        <v>1127.0101910496001</v>
      </c>
      <c r="G10" s="27">
        <f t="shared" si="0"/>
        <v>7.0273235566338519</v>
      </c>
      <c r="H10" s="28">
        <f t="shared" si="1"/>
        <v>0.7487512485105372</v>
      </c>
      <c r="I10" s="28">
        <f t="shared" si="2"/>
        <v>-1.2173588708971388</v>
      </c>
      <c r="J10" s="29">
        <f t="shared" si="3"/>
        <v>1.966110119407676</v>
      </c>
      <c r="K10" s="28">
        <v>1.4871104538945219</v>
      </c>
      <c r="L10" s="28">
        <v>2.391960961299223</v>
      </c>
      <c r="M10" s="21" t="s">
        <v>157</v>
      </c>
      <c r="N10" s="24">
        <v>0.995</v>
      </c>
      <c r="O10" s="22" t="str">
        <f t="shared" si="4"/>
        <v>Más miedo que delito registrado</v>
      </c>
      <c r="Q10" s="30">
        <f t="shared" si="5"/>
        <v>0.42585084189154698</v>
      </c>
      <c r="R10" s="30">
        <f t="shared" si="6"/>
        <v>0.47899966551315409</v>
      </c>
    </row>
    <row r="11" spans="2:18" ht="18.95" customHeight="1" x14ac:dyDescent="0.25">
      <c r="B11" s="21">
        <v>4</v>
      </c>
      <c r="C11" s="21">
        <v>8</v>
      </c>
      <c r="D11" s="22" t="s">
        <v>127</v>
      </c>
      <c r="E11" s="24">
        <f>INDEX(Panel_localidad!$E$8:$E$26,MATCH(C11,Panel_localidad!$B$8:$B$26,0))</f>
        <v>0.58445401216823745</v>
      </c>
      <c r="F11" s="23">
        <f>INDEX(Panel_localidad!$Q$8:$Q$26,MATCH(C11,Panel_localidad!$B$8:$B$26,0))</f>
        <v>1475.109152524805</v>
      </c>
      <c r="G11" s="27">
        <f t="shared" si="0"/>
        <v>7.2964872677476604</v>
      </c>
      <c r="H11" s="28">
        <f t="shared" si="1"/>
        <v>0.86678497490799733</v>
      </c>
      <c r="I11" s="28">
        <f t="shared" si="2"/>
        <v>-0.85019130578357449</v>
      </c>
      <c r="J11" s="29">
        <f t="shared" si="3"/>
        <v>1.7169762806915718</v>
      </c>
      <c r="K11" s="28">
        <v>1.289912744025784</v>
      </c>
      <c r="L11" s="28">
        <v>2.075889258540895</v>
      </c>
      <c r="M11" s="21" t="s">
        <v>158</v>
      </c>
      <c r="N11" s="24">
        <v>0.98299999999999998</v>
      </c>
      <c r="O11" s="22" t="str">
        <f t="shared" si="4"/>
        <v>Más miedo que delito registrado</v>
      </c>
      <c r="Q11" s="30">
        <f t="shared" si="5"/>
        <v>0.35891297784932319</v>
      </c>
      <c r="R11" s="30">
        <f t="shared" si="6"/>
        <v>0.42706353666578778</v>
      </c>
    </row>
    <row r="12" spans="2:18" ht="18.95" customHeight="1" x14ac:dyDescent="0.25">
      <c r="B12" s="21">
        <v>5</v>
      </c>
      <c r="C12" s="21">
        <v>4</v>
      </c>
      <c r="D12" s="22" t="s">
        <v>123</v>
      </c>
      <c r="E12" s="24">
        <f>INDEX(Panel_localidad!$E$8:$E$26,MATCH(C12,Panel_localidad!$B$8:$B$26,0))</f>
        <v>0.55734340719220932</v>
      </c>
      <c r="F12" s="23">
        <f>INDEX(Panel_localidad!$Q$8:$Q$26,MATCH(C12,Panel_localidad!$B$8:$B$26,0))</f>
        <v>1413.254146591798</v>
      </c>
      <c r="G12" s="27">
        <f t="shared" si="0"/>
        <v>7.2536502296333873</v>
      </c>
      <c r="H12" s="28">
        <f t="shared" si="1"/>
        <v>0.6355776775774491</v>
      </c>
      <c r="I12" s="28">
        <f t="shared" si="2"/>
        <v>-0.90862552381396966</v>
      </c>
      <c r="J12" s="29">
        <f t="shared" si="3"/>
        <v>1.5442032013914186</v>
      </c>
      <c r="K12" s="28">
        <v>0.99503714123056564</v>
      </c>
      <c r="L12" s="28">
        <v>2.0202623353469611</v>
      </c>
      <c r="M12" s="21" t="s">
        <v>159</v>
      </c>
      <c r="N12" s="24">
        <v>0.90900000000000003</v>
      </c>
      <c r="O12" s="22" t="str">
        <f t="shared" si="4"/>
        <v>Más miedo que delito registrado</v>
      </c>
      <c r="Q12" s="30">
        <f t="shared" si="5"/>
        <v>0.47605913395554245</v>
      </c>
      <c r="R12" s="30">
        <f t="shared" si="6"/>
        <v>0.54916606016085301</v>
      </c>
    </row>
    <row r="13" spans="2:18" ht="18.95" customHeight="1" x14ac:dyDescent="0.25">
      <c r="B13" s="21">
        <v>6</v>
      </c>
      <c r="C13" s="21">
        <v>18</v>
      </c>
      <c r="D13" s="22" t="s">
        <v>137</v>
      </c>
      <c r="E13" s="24">
        <f>INDEX(Panel_localidad!$E$8:$E$26,MATCH(C13,Panel_localidad!$B$8:$B$26,0))</f>
        <v>0.49708091818111833</v>
      </c>
      <c r="F13" s="23">
        <f>INDEX(Panel_localidad!$Q$8:$Q$26,MATCH(C13,Panel_localidad!$B$8:$B$26,0))</f>
        <v>1542.3004993286891</v>
      </c>
      <c r="G13" s="27">
        <f t="shared" si="0"/>
        <v>7.3410304114853933</v>
      </c>
      <c r="H13" s="28">
        <f t="shared" si="1"/>
        <v>0.12164125944933193</v>
      </c>
      <c r="I13" s="28">
        <f t="shared" si="2"/>
        <v>-0.78942978053557522</v>
      </c>
      <c r="J13" s="29">
        <f t="shared" si="3"/>
        <v>0.91107103998490713</v>
      </c>
      <c r="K13" s="28">
        <v>0.41804017853541031</v>
      </c>
      <c r="L13" s="28">
        <v>1.375343865288291</v>
      </c>
      <c r="M13" s="21" t="s">
        <v>160</v>
      </c>
      <c r="N13" s="24">
        <v>0.11</v>
      </c>
      <c r="O13" s="22" t="str">
        <f t="shared" si="4"/>
        <v>Más miedo que delito registrado</v>
      </c>
      <c r="Q13" s="30">
        <f t="shared" si="5"/>
        <v>0.46427282530338387</v>
      </c>
      <c r="R13" s="30">
        <f t="shared" si="6"/>
        <v>0.49303086144949682</v>
      </c>
    </row>
    <row r="14" spans="2:18" ht="18.95" customHeight="1" x14ac:dyDescent="0.25">
      <c r="B14" s="21">
        <v>7</v>
      </c>
      <c r="C14" s="21">
        <v>10</v>
      </c>
      <c r="D14" s="22" t="s">
        <v>129</v>
      </c>
      <c r="E14" s="24">
        <f>INDEX(Panel_localidad!$E$8:$E$26,MATCH(C14,Panel_localidad!$B$8:$B$26,0))</f>
        <v>0.49392230255605363</v>
      </c>
      <c r="F14" s="23">
        <f>INDEX(Panel_localidad!$Q$8:$Q$26,MATCH(C14,Panel_localidad!$B$8:$B$26,0))</f>
        <v>2046.824973802816</v>
      </c>
      <c r="G14" s="27">
        <f t="shared" si="0"/>
        <v>7.6240450782454081</v>
      </c>
      <c r="H14" s="28">
        <f t="shared" si="1"/>
        <v>9.4703646562308799E-2</v>
      </c>
      <c r="I14" s="28">
        <f t="shared" si="2"/>
        <v>-0.4033680575206019</v>
      </c>
      <c r="J14" s="29">
        <f t="shared" si="3"/>
        <v>0.49807170408291068</v>
      </c>
      <c r="K14" s="28">
        <v>0.17770535400219789</v>
      </c>
      <c r="L14" s="28">
        <v>0.81816726433638531</v>
      </c>
      <c r="M14" s="21" t="s">
        <v>161</v>
      </c>
      <c r="N14" s="24">
        <v>2E-3</v>
      </c>
      <c r="O14" s="22" t="str">
        <f t="shared" si="4"/>
        <v>Más miedo que delito registrado</v>
      </c>
      <c r="Q14" s="30">
        <f t="shared" si="5"/>
        <v>0.32009556025347463</v>
      </c>
      <c r="R14" s="30">
        <f t="shared" si="6"/>
        <v>0.32036635008071279</v>
      </c>
    </row>
    <row r="15" spans="2:18" ht="18.95" customHeight="1" x14ac:dyDescent="0.25">
      <c r="B15" s="21">
        <v>8</v>
      </c>
      <c r="C15" s="21">
        <v>11</v>
      </c>
      <c r="D15" s="22" t="s">
        <v>130</v>
      </c>
      <c r="E15" s="24">
        <f>INDEX(Panel_localidad!$E$8:$E$26,MATCH(C15,Panel_localidad!$B$8:$B$26,0))</f>
        <v>0.40472663503935652</v>
      </c>
      <c r="F15" s="23">
        <f>INDEX(Panel_localidad!$Q$8:$Q$26,MATCH(C15,Panel_localidad!$B$8:$B$26,0))</f>
        <v>1424.5526163590521</v>
      </c>
      <c r="G15" s="27">
        <f t="shared" si="0"/>
        <v>7.2616130899768105</v>
      </c>
      <c r="H15" s="28">
        <f t="shared" si="1"/>
        <v>-0.66598351768079089</v>
      </c>
      <c r="I15" s="28">
        <f t="shared" si="2"/>
        <v>-0.89776334617666609</v>
      </c>
      <c r="J15" s="29">
        <f t="shared" si="3"/>
        <v>0.2317798284958752</v>
      </c>
      <c r="K15" s="28">
        <v>-6.1453192454465899E-2</v>
      </c>
      <c r="L15" s="28">
        <v>0.59083019953309801</v>
      </c>
      <c r="M15" s="21" t="s">
        <v>162</v>
      </c>
      <c r="N15" s="24">
        <v>1E-3</v>
      </c>
      <c r="O15" s="22" t="str">
        <f t="shared" si="4"/>
        <v>Más miedo que delito registrado</v>
      </c>
      <c r="Q15" s="30">
        <f t="shared" si="5"/>
        <v>0.35905037103722282</v>
      </c>
      <c r="R15" s="30">
        <f t="shared" si="6"/>
        <v>0.29323302095034109</v>
      </c>
    </row>
    <row r="16" spans="2:18" ht="18.95" customHeight="1" x14ac:dyDescent="0.25">
      <c r="B16" s="21">
        <v>9</v>
      </c>
      <c r="C16" s="21">
        <v>15</v>
      </c>
      <c r="D16" s="22" t="s">
        <v>134</v>
      </c>
      <c r="E16" s="24">
        <f>INDEX(Panel_localidad!$E$8:$E$26,MATCH(C16,Panel_localidad!$B$8:$B$26,0))</f>
        <v>0.49292850510122449</v>
      </c>
      <c r="F16" s="23">
        <f>INDEX(Panel_localidad!$Q$8:$Q$26,MATCH(C16,Panel_localidad!$B$8:$B$26,0))</f>
        <v>3678.6278492439628</v>
      </c>
      <c r="G16" s="27">
        <f t="shared" si="0"/>
        <v>8.2102950945775017</v>
      </c>
      <c r="H16" s="28">
        <f t="shared" si="1"/>
        <v>8.6228246480746853E-2</v>
      </c>
      <c r="I16" s="28">
        <f t="shared" si="2"/>
        <v>0.39633852310916456</v>
      </c>
      <c r="J16" s="29">
        <f t="shared" si="3"/>
        <v>-0.31011027662841772</v>
      </c>
      <c r="K16" s="28">
        <v>-0.78380900031575573</v>
      </c>
      <c r="L16" s="28">
        <v>0.13367260439709361</v>
      </c>
      <c r="M16" s="21" t="s">
        <v>163</v>
      </c>
      <c r="N16" s="24">
        <v>0</v>
      </c>
      <c r="O16" s="22" t="str">
        <f t="shared" si="4"/>
        <v>Menos miedo que delito registrado</v>
      </c>
      <c r="Q16" s="30">
        <f t="shared" si="5"/>
        <v>0.44378288102551133</v>
      </c>
      <c r="R16" s="30">
        <f t="shared" si="6"/>
        <v>0.47369872368733801</v>
      </c>
    </row>
    <row r="17" spans="2:18" ht="18.95" customHeight="1" x14ac:dyDescent="0.25">
      <c r="B17" s="21">
        <v>10</v>
      </c>
      <c r="C17" s="21">
        <v>3</v>
      </c>
      <c r="D17" s="22" t="s">
        <v>122</v>
      </c>
      <c r="E17" s="24">
        <f>INDEX(Panel_localidad!$E$8:$E$26,MATCH(C17,Panel_localidad!$B$8:$B$26,0))</f>
        <v>0.58063904999986116</v>
      </c>
      <c r="F17" s="23">
        <f>INDEX(Panel_localidad!$Q$8:$Q$26,MATCH(C17,Panel_localidad!$B$8:$B$26,0))</f>
        <v>6731.8122888867329</v>
      </c>
      <c r="G17" s="27">
        <f t="shared" si="0"/>
        <v>8.8145996715123704</v>
      </c>
      <c r="H17" s="28">
        <f t="shared" si="1"/>
        <v>0.83424984361349108</v>
      </c>
      <c r="I17" s="28">
        <f t="shared" si="2"/>
        <v>1.2206734201946858</v>
      </c>
      <c r="J17" s="29">
        <f t="shared" si="3"/>
        <v>-0.38642357658119475</v>
      </c>
      <c r="K17" s="28">
        <v>-0.98787664627816241</v>
      </c>
      <c r="L17" s="28">
        <v>0.1011465737049375</v>
      </c>
      <c r="M17" s="21" t="s">
        <v>164</v>
      </c>
      <c r="N17" s="24">
        <v>0</v>
      </c>
      <c r="O17" s="22" t="str">
        <f t="shared" si="4"/>
        <v>Menos miedo que delito registrado</v>
      </c>
      <c r="Q17" s="30">
        <f t="shared" si="5"/>
        <v>0.48757015028613226</v>
      </c>
      <c r="R17" s="30">
        <f t="shared" si="6"/>
        <v>0.60145306969696766</v>
      </c>
    </row>
    <row r="18" spans="2:18" ht="18.95" customHeight="1" x14ac:dyDescent="0.25">
      <c r="B18" s="21">
        <v>11</v>
      </c>
      <c r="C18" s="21">
        <v>16</v>
      </c>
      <c r="D18" s="22" t="s">
        <v>135</v>
      </c>
      <c r="E18" s="24">
        <f>INDEX(Panel_localidad!$E$8:$E$26,MATCH(C18,Panel_localidad!$B$8:$B$26,0))</f>
        <v>0.4517257906024511</v>
      </c>
      <c r="F18" s="23">
        <f>INDEX(Panel_localidad!$Q$8:$Q$26,MATCH(C18,Panel_localidad!$B$8:$B$26,0))</f>
        <v>3763.4429961344558</v>
      </c>
      <c r="G18" s="27">
        <f t="shared" si="0"/>
        <v>8.2330895078564783</v>
      </c>
      <c r="H18" s="28">
        <f t="shared" si="1"/>
        <v>-0.26516074946261325</v>
      </c>
      <c r="I18" s="28">
        <f t="shared" si="2"/>
        <v>0.42743249631677638</v>
      </c>
      <c r="J18" s="29">
        <f t="shared" si="3"/>
        <v>-0.69259324577938963</v>
      </c>
      <c r="K18" s="28">
        <v>-1.1558846494796879</v>
      </c>
      <c r="L18" s="28">
        <v>-0.17063774850814001</v>
      </c>
      <c r="M18" s="21" t="s">
        <v>165</v>
      </c>
      <c r="N18" s="24">
        <v>0</v>
      </c>
      <c r="O18" s="22" t="str">
        <f t="shared" si="4"/>
        <v>Menos miedo que delito registrado</v>
      </c>
      <c r="Q18" s="30">
        <f t="shared" si="5"/>
        <v>0.52195549727124968</v>
      </c>
      <c r="R18" s="30">
        <f t="shared" si="6"/>
        <v>0.46329140370029831</v>
      </c>
    </row>
    <row r="19" spans="2:18" ht="18.95" customHeight="1" x14ac:dyDescent="0.25">
      <c r="B19" s="21">
        <v>12</v>
      </c>
      <c r="C19" s="21">
        <v>6</v>
      </c>
      <c r="D19" s="22" t="s">
        <v>125</v>
      </c>
      <c r="E19" s="24">
        <f>INDEX(Panel_localidad!$E$8:$E$26,MATCH(C19,Panel_localidad!$B$8:$B$26,0))</f>
        <v>0.35985430295058157</v>
      </c>
      <c r="F19" s="23">
        <f>INDEX(Panel_localidad!$Q$8:$Q$26,MATCH(C19,Panel_localidad!$B$8:$B$26,0))</f>
        <v>2131.7020916727738</v>
      </c>
      <c r="G19" s="27">
        <f t="shared" si="0"/>
        <v>7.6646760436615287</v>
      </c>
      <c r="H19" s="28">
        <f t="shared" si="1"/>
        <v>-1.0486681031534557</v>
      </c>
      <c r="I19" s="28">
        <f t="shared" si="2"/>
        <v>-0.34794315429602646</v>
      </c>
      <c r="J19" s="29">
        <f t="shared" si="3"/>
        <v>-0.7007249488574292</v>
      </c>
      <c r="K19" s="28">
        <v>-1.047427102065809</v>
      </c>
      <c r="L19" s="28">
        <v>-0.2333752430846813</v>
      </c>
      <c r="M19" s="21" t="s">
        <v>164</v>
      </c>
      <c r="N19" s="24">
        <v>0</v>
      </c>
      <c r="O19" s="22" t="str">
        <f t="shared" si="4"/>
        <v>Menos miedo que delito registrado</v>
      </c>
      <c r="Q19" s="30">
        <f t="shared" si="5"/>
        <v>0.46734970577274793</v>
      </c>
      <c r="R19" s="30">
        <f t="shared" si="6"/>
        <v>0.34670215320837983</v>
      </c>
    </row>
    <row r="20" spans="2:18" ht="18.95" customHeight="1" x14ac:dyDescent="0.25">
      <c r="B20" s="21">
        <v>13</v>
      </c>
      <c r="C20" s="21">
        <v>12</v>
      </c>
      <c r="D20" s="22" t="s">
        <v>131</v>
      </c>
      <c r="E20" s="24">
        <f>INDEX(Panel_localidad!$E$8:$E$26,MATCH(C20,Panel_localidad!$B$8:$B$26,0))</f>
        <v>0.47263051557608132</v>
      </c>
      <c r="F20" s="23">
        <f>INDEX(Panel_localidad!$Q$8:$Q$26,MATCH(C20,Panel_localidad!$B$8:$B$26,0))</f>
        <v>4387.647041987464</v>
      </c>
      <c r="G20" s="27">
        <f t="shared" si="0"/>
        <v>8.3865483810558423</v>
      </c>
      <c r="H20" s="28">
        <f t="shared" si="1"/>
        <v>-8.6879041368485357E-2</v>
      </c>
      <c r="I20" s="28">
        <f t="shared" si="2"/>
        <v>0.63676651309237986</v>
      </c>
      <c r="J20" s="29">
        <f t="shared" si="3"/>
        <v>-0.7236455544608652</v>
      </c>
      <c r="K20" s="28">
        <v>-1.1791961774228199</v>
      </c>
      <c r="L20" s="28">
        <v>-0.27326926860387918</v>
      </c>
      <c r="M20" s="21" t="s">
        <v>165</v>
      </c>
      <c r="N20" s="24">
        <v>0</v>
      </c>
      <c r="O20" s="22" t="str">
        <f t="shared" si="4"/>
        <v>Menos miedo que delito registrado</v>
      </c>
      <c r="Q20" s="30">
        <f t="shared" si="5"/>
        <v>0.45037628585698603</v>
      </c>
      <c r="R20" s="30">
        <f t="shared" si="6"/>
        <v>0.4555506229619547</v>
      </c>
    </row>
    <row r="21" spans="2:18" ht="18.95" customHeight="1" x14ac:dyDescent="0.25">
      <c r="B21" s="21">
        <v>14</v>
      </c>
      <c r="C21" s="21">
        <v>17</v>
      </c>
      <c r="D21" s="22" t="s">
        <v>136</v>
      </c>
      <c r="E21" s="24">
        <f>INDEX(Panel_localidad!$E$8:$E$26,MATCH(C21,Panel_localidad!$B$8:$B$26,0))</f>
        <v>0.61038163985095628</v>
      </c>
      <c r="F21" s="23">
        <f>INDEX(Panel_localidad!$Q$8:$Q$26,MATCH(C21,Panel_localidad!$B$8:$B$26,0))</f>
        <v>11350.51485030653</v>
      </c>
      <c r="G21" s="27">
        <f t="shared" si="0"/>
        <v>9.3370183831412454</v>
      </c>
      <c r="H21" s="28">
        <f t="shared" si="1"/>
        <v>1.0879034902644324</v>
      </c>
      <c r="I21" s="28">
        <f t="shared" si="2"/>
        <v>1.9333073986935017</v>
      </c>
      <c r="J21" s="29">
        <f t="shared" si="3"/>
        <v>-0.84540390842906921</v>
      </c>
      <c r="K21" s="28">
        <v>-1.60061216219508</v>
      </c>
      <c r="L21" s="28">
        <v>-0.25024548858798201</v>
      </c>
      <c r="M21" s="21" t="s">
        <v>166</v>
      </c>
      <c r="N21" s="24">
        <v>0</v>
      </c>
      <c r="O21" s="22" t="str">
        <f t="shared" si="4"/>
        <v>Menos miedo que delito registrado</v>
      </c>
      <c r="Q21" s="30">
        <f t="shared" si="5"/>
        <v>0.59515841984108719</v>
      </c>
      <c r="R21" s="30">
        <f t="shared" si="6"/>
        <v>0.75520825376601075</v>
      </c>
    </row>
    <row r="22" spans="2:18" ht="18.95" customHeight="1" x14ac:dyDescent="0.25">
      <c r="B22" s="21">
        <v>15</v>
      </c>
      <c r="C22" s="21">
        <v>2</v>
      </c>
      <c r="D22" s="22" t="s">
        <v>121</v>
      </c>
      <c r="E22" s="24">
        <f>INDEX(Panel_localidad!$E$8:$E$26,MATCH(C22,Panel_localidad!$B$8:$B$26,0))</f>
        <v>0.50505065400726801</v>
      </c>
      <c r="F22" s="23">
        <f>INDEX(Panel_localidad!$Q$8:$Q$26,MATCH(C22,Panel_localidad!$B$8:$B$26,0))</f>
        <v>6466.3730275576836</v>
      </c>
      <c r="G22" s="27">
        <f t="shared" si="0"/>
        <v>8.7743706472426943</v>
      </c>
      <c r="H22" s="28">
        <f t="shared" si="1"/>
        <v>0.18960953542221554</v>
      </c>
      <c r="I22" s="28">
        <f t="shared" si="2"/>
        <v>1.1657968068991214</v>
      </c>
      <c r="J22" s="29">
        <f t="shared" si="3"/>
        <v>-0.97618727147690576</v>
      </c>
      <c r="K22" s="28">
        <v>-1.483406234495334</v>
      </c>
      <c r="L22" s="28">
        <v>-0.51931138028770529</v>
      </c>
      <c r="M22" s="21" t="s">
        <v>167</v>
      </c>
      <c r="N22" s="24">
        <v>0</v>
      </c>
      <c r="O22" s="22" t="str">
        <f t="shared" si="4"/>
        <v>Menos miedo que delito registrado</v>
      </c>
      <c r="Q22" s="30">
        <f t="shared" si="5"/>
        <v>0.45687589118920047</v>
      </c>
      <c r="R22" s="30">
        <f t="shared" si="6"/>
        <v>0.50721896301842828</v>
      </c>
    </row>
    <row r="23" spans="2:18" ht="18.95" customHeight="1" x14ac:dyDescent="0.25">
      <c r="B23" s="21">
        <v>16</v>
      </c>
      <c r="C23" s="21">
        <v>1</v>
      </c>
      <c r="D23" s="22" t="s">
        <v>120</v>
      </c>
      <c r="E23" s="24">
        <f>INDEX(Panel_localidad!$E$8:$E$26,MATCH(C23,Panel_localidad!$B$8:$B$26,0))</f>
        <v>0.248209718368572</v>
      </c>
      <c r="F23" s="23">
        <f>INDEX(Panel_localidad!$Q$8:$Q$26,MATCH(C23,Panel_localidad!$B$8:$B$26,0))</f>
        <v>1782.432255530829</v>
      </c>
      <c r="G23" s="27">
        <f t="shared" si="0"/>
        <v>7.4857341462539333</v>
      </c>
      <c r="H23" s="28">
        <f t="shared" si="1"/>
        <v>-2.0008063046293265</v>
      </c>
      <c r="I23" s="28">
        <f t="shared" si="2"/>
        <v>-0.5920386919005286</v>
      </c>
      <c r="J23" s="29">
        <f t="shared" si="3"/>
        <v>-1.408767612728798</v>
      </c>
      <c r="K23" s="28">
        <v>-1.632900217928742</v>
      </c>
      <c r="L23" s="28">
        <v>-1.0121754286076869</v>
      </c>
      <c r="M23" s="21" t="s">
        <v>168</v>
      </c>
      <c r="N23" s="24">
        <v>0</v>
      </c>
      <c r="O23" s="22" t="str">
        <f t="shared" si="4"/>
        <v>Menos miedo que delito registrado</v>
      </c>
      <c r="Q23" s="30">
        <f t="shared" si="5"/>
        <v>0.39659218412111108</v>
      </c>
      <c r="R23" s="30">
        <f t="shared" si="6"/>
        <v>0.22413260519994394</v>
      </c>
    </row>
    <row r="24" spans="2:18" ht="18.95" customHeight="1" x14ac:dyDescent="0.25">
      <c r="B24" s="21">
        <v>17</v>
      </c>
      <c r="C24" s="21">
        <v>9</v>
      </c>
      <c r="D24" s="22" t="s">
        <v>128</v>
      </c>
      <c r="E24" s="24">
        <f>INDEX(Panel_localidad!$E$8:$E$26,MATCH(C24,Panel_localidad!$B$8:$B$26,0))</f>
        <v>0.2708793323927241</v>
      </c>
      <c r="F24" s="23">
        <f>INDEX(Panel_localidad!$Q$8:$Q$26,MATCH(C24,Panel_localidad!$B$8:$B$26,0))</f>
        <v>2511.0160291206339</v>
      </c>
      <c r="G24" s="27">
        <f t="shared" si="0"/>
        <v>7.8284427426977974</v>
      </c>
      <c r="H24" s="28">
        <f t="shared" si="1"/>
        <v>-1.8074730981337335</v>
      </c>
      <c r="I24" s="28">
        <f t="shared" si="2"/>
        <v>-0.12454818072022959</v>
      </c>
      <c r="J24" s="29">
        <f t="shared" si="3"/>
        <v>-1.6829249174135039</v>
      </c>
      <c r="K24" s="28">
        <v>-1.921055370329491</v>
      </c>
      <c r="L24" s="28">
        <v>-1.291178992198035</v>
      </c>
      <c r="M24" s="21" t="s">
        <v>169</v>
      </c>
      <c r="N24" s="24">
        <v>0</v>
      </c>
      <c r="O24" s="22" t="str">
        <f t="shared" si="4"/>
        <v>Menos miedo que delito registrado</v>
      </c>
      <c r="Q24" s="30">
        <f t="shared" si="5"/>
        <v>0.39174592521546892</v>
      </c>
      <c r="R24" s="30">
        <f t="shared" si="6"/>
        <v>0.23813045291598711</v>
      </c>
    </row>
    <row r="25" spans="2:18" ht="18.95" customHeight="1" x14ac:dyDescent="0.25">
      <c r="B25" s="21">
        <v>18</v>
      </c>
      <c r="C25" s="21">
        <v>13</v>
      </c>
      <c r="D25" s="22" t="s">
        <v>132</v>
      </c>
      <c r="E25" s="24">
        <f>INDEX(Panel_localidad!$E$8:$E$26,MATCH(C25,Panel_localidad!$B$8:$B$26,0))</f>
        <v>0.37538181843024382</v>
      </c>
      <c r="F25" s="23">
        <f>INDEX(Panel_localidad!$Q$8:$Q$26,MATCH(C25,Panel_localidad!$B$8:$B$26,0))</f>
        <v>6226.5971085132578</v>
      </c>
      <c r="G25" s="27">
        <f t="shared" si="0"/>
        <v>8.7365852520426799</v>
      </c>
      <c r="H25" s="28">
        <f t="shared" si="1"/>
        <v>-0.91624483589382089</v>
      </c>
      <c r="I25" s="28">
        <f t="shared" si="2"/>
        <v>1.1142535602443857</v>
      </c>
      <c r="J25" s="29">
        <f t="shared" si="3"/>
        <v>-2.0304983961382064</v>
      </c>
      <c r="K25" s="28">
        <v>-2.4446573756816599</v>
      </c>
      <c r="L25" s="28">
        <v>-1.5076060530334541</v>
      </c>
      <c r="M25" s="21" t="s">
        <v>170</v>
      </c>
      <c r="N25" s="24">
        <v>0</v>
      </c>
      <c r="O25" s="22" t="str">
        <f t="shared" si="4"/>
        <v>Menos miedo que delito registrado</v>
      </c>
      <c r="Q25" s="30">
        <f t="shared" si="5"/>
        <v>0.5228923431047523</v>
      </c>
      <c r="R25" s="30">
        <f t="shared" si="6"/>
        <v>0.41415897954345349</v>
      </c>
    </row>
    <row r="26" spans="2:18" ht="18.95" customHeight="1" x14ac:dyDescent="0.25">
      <c r="B26" s="21">
        <v>19</v>
      </c>
      <c r="C26" s="21">
        <v>14</v>
      </c>
      <c r="D26" s="22" t="s">
        <v>133</v>
      </c>
      <c r="E26" s="24">
        <f>INDEX(Panel_localidad!$E$8:$E$26,MATCH(C26,Panel_localidad!$B$8:$B$26,0))</f>
        <v>0.39738312042184598</v>
      </c>
      <c r="F26" s="23">
        <f>INDEX(Panel_localidad!$Q$8:$Q$26,MATCH(C26,Panel_localidad!$B$8:$B$26,0))</f>
        <v>7609.5109957493423</v>
      </c>
      <c r="G26" s="27">
        <f t="shared" si="0"/>
        <v>8.9371541906766812</v>
      </c>
      <c r="H26" s="28">
        <f t="shared" si="1"/>
        <v>-0.72861119305444222</v>
      </c>
      <c r="I26" s="28">
        <f t="shared" si="2"/>
        <v>1.3878506529985439</v>
      </c>
      <c r="J26" s="29">
        <f t="shared" si="3"/>
        <v>-2.116461846052986</v>
      </c>
      <c r="K26" s="28">
        <v>-2.6024342058608481</v>
      </c>
      <c r="L26" s="28">
        <v>-1.545819734169616</v>
      </c>
      <c r="M26" s="21" t="s">
        <v>170</v>
      </c>
      <c r="N26" s="24">
        <v>0</v>
      </c>
      <c r="O26" s="22" t="str">
        <f t="shared" si="4"/>
        <v>Menos miedo que delito registrado</v>
      </c>
      <c r="Q26" s="30">
        <f t="shared" si="5"/>
        <v>0.57064211188337</v>
      </c>
      <c r="R26" s="30">
        <f t="shared" si="6"/>
        <v>0.48597235980786202</v>
      </c>
    </row>
    <row r="27" spans="2:18" ht="42.75" customHeight="1" x14ac:dyDescent="0.25">
      <c r="B27" s="129" t="s">
        <v>171</v>
      </c>
      <c r="C27" s="83"/>
      <c r="D27" s="83"/>
      <c r="E27" s="83"/>
      <c r="F27" s="83"/>
      <c r="G27" s="83"/>
      <c r="H27" s="83"/>
      <c r="I27" s="83"/>
      <c r="J27" s="83"/>
      <c r="K27" s="83"/>
      <c r="L27" s="83"/>
      <c r="M27" s="83"/>
      <c r="N27" s="83"/>
      <c r="O27" s="83"/>
    </row>
    <row r="29" spans="2:18" ht="24" customHeight="1" x14ac:dyDescent="0.3">
      <c r="B29" s="31" t="s">
        <v>172</v>
      </c>
    </row>
  </sheetData>
  <mergeCells count="2">
    <mergeCell ref="B1:N1"/>
    <mergeCell ref="B27:O27"/>
  </mergeCells>
  <conditionalFormatting sqref="B8:D26">
    <cfRule type="expression" dxfId="12" priority="3">
      <formula>$N8&gt;=0.9</formula>
    </cfRule>
  </conditionalFormatting>
  <conditionalFormatting sqref="J8:J26">
    <cfRule type="colorScale" priority="1">
      <colorScale>
        <cfvo type="min"/>
        <cfvo type="num" val="0"/>
        <cfvo type="max"/>
        <color rgb="FF6D95E0"/>
        <color rgb="FFEDEDED"/>
        <color rgb="FFF0BF4F"/>
      </colorScale>
    </cfRule>
  </conditionalFormatting>
  <conditionalFormatting sqref="N8:N26">
    <cfRule type="dataBar" priority="2">
      <dataBar>
        <cfvo type="num" val="0"/>
        <cfvo type="num" val="1"/>
        <color rgb="FFF0BF4F"/>
      </dataBar>
      <extLst>
        <ext xmlns:x14="http://schemas.microsoft.com/office/spreadsheetml/2009/9/main" uri="{B025F937-C7B1-47D3-B67F-A62EFF666E3E}">
          <x14:id>{00000000-000E-0000-0300-000002000000}</x14:id>
        </ext>
      </extLst>
    </cfRule>
  </conditionalFormatting>
  <hyperlinks>
    <hyperlink ref="O1" location="'Portada'!A1" display="← Portada" xr:uid="{00000000-0004-0000-03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28" max="16383" man="1"/>
  </rowBreaks>
  <drawing r:id="rId1"/>
  <extLst>
    <ext xmlns:x14="http://schemas.microsoft.com/office/spreadsheetml/2009/9/main" uri="{78C0D931-6437-407d-A8EE-F0AAD7539E65}">
      <x14:conditionalFormattings>
        <x14:conditionalFormatting xmlns:xm="http://schemas.microsoft.com/office/excel/2006/main">
          <x14:cfRule type="dataBar" id="{00000000-000E-0000-0300-000002000000}">
            <x14:dataBar minLength="0" maxLength="100" negativeBarColorSameAsPositive="1" axisPosition="none">
              <x14:cfvo type="num">
                <xm:f>0</xm:f>
              </x14:cfvo>
              <x14:cfvo type="num">
                <xm:f>1</xm:f>
              </x14:cfvo>
            </x14:dataBar>
          </x14:cfRule>
          <xm:sqref>N8:N26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B0F24"/>
    <pageSetUpPr fitToPage="1"/>
  </sheetPr>
  <dimension ref="B1:R63"/>
  <sheetViews>
    <sheetView showGridLines="0" zoomScale="90" workbookViewId="0">
      <pane xSplit="3" ySplit="7" topLeftCell="D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2" customWidth="1"/>
    <col min="4" max="4" width="12" customWidth="1"/>
    <col min="5" max="5" width="11" customWidth="1"/>
    <col min="6" max="6" width="13" customWidth="1"/>
    <col min="7" max="8" width="12" customWidth="1"/>
    <col min="9" max="9" width="14" customWidth="1"/>
    <col min="10" max="10" width="12" customWidth="1"/>
    <col min="11" max="12" width="11" customWidth="1"/>
    <col min="13" max="15" width="10" customWidth="1"/>
    <col min="16" max="16" width="3" customWidth="1"/>
    <col min="17" max="18" width="10" customWidth="1"/>
  </cols>
  <sheetData>
    <row r="1" spans="2:18" ht="20.100000000000001" customHeight="1" x14ac:dyDescent="0.25">
      <c r="B1" s="116" t="s">
        <v>49</v>
      </c>
      <c r="C1" s="83"/>
      <c r="D1" s="83"/>
      <c r="E1" s="83"/>
      <c r="F1" s="83"/>
      <c r="G1" s="83"/>
      <c r="H1" s="83"/>
      <c r="I1" s="83"/>
      <c r="J1" s="83"/>
      <c r="K1" s="83"/>
      <c r="L1" s="83"/>
      <c r="M1" s="83"/>
      <c r="N1" s="83"/>
      <c r="O1" s="14" t="s">
        <v>50</v>
      </c>
    </row>
    <row r="2" spans="2:18" ht="30" customHeight="1" x14ac:dyDescent="0.25">
      <c r="B2" s="15" t="s">
        <v>173</v>
      </c>
    </row>
    <row r="3" spans="2:18" ht="20.100000000000001" customHeight="1" x14ac:dyDescent="0.25">
      <c r="B3" s="16" t="s">
        <v>174</v>
      </c>
    </row>
    <row r="4" spans="2:18" ht="3" customHeight="1" x14ac:dyDescent="0.25">
      <c r="B4" s="2"/>
      <c r="C4" s="2"/>
      <c r="D4" s="2"/>
      <c r="E4" s="2"/>
      <c r="F4" s="2"/>
      <c r="G4" s="2"/>
      <c r="H4" s="2"/>
      <c r="I4" s="2"/>
      <c r="J4" s="2"/>
      <c r="K4" s="2"/>
      <c r="L4" s="2"/>
      <c r="M4" s="2"/>
      <c r="N4" s="2"/>
      <c r="O4" s="2"/>
    </row>
    <row r="5" spans="2:18" ht="9.9499999999999993" customHeight="1" x14ac:dyDescent="0.25"/>
    <row r="7" spans="2:18" ht="57.95" customHeight="1" x14ac:dyDescent="0.25">
      <c r="B7" s="20" t="s">
        <v>96</v>
      </c>
      <c r="C7" s="20" t="s">
        <v>83</v>
      </c>
      <c r="D7" s="20" t="s">
        <v>175</v>
      </c>
      <c r="E7" s="20" t="s">
        <v>176</v>
      </c>
      <c r="F7" s="20" t="s">
        <v>177</v>
      </c>
      <c r="G7" s="20" t="s">
        <v>178</v>
      </c>
      <c r="H7" s="20" t="s">
        <v>179</v>
      </c>
      <c r="I7" s="20" t="s">
        <v>180</v>
      </c>
      <c r="J7" s="20" t="s">
        <v>181</v>
      </c>
      <c r="K7" s="20" t="s">
        <v>178</v>
      </c>
      <c r="L7" s="20" t="s">
        <v>179</v>
      </c>
      <c r="M7" s="20" t="s">
        <v>147</v>
      </c>
      <c r="N7" s="20" t="s">
        <v>182</v>
      </c>
      <c r="O7" s="20" t="s">
        <v>183</v>
      </c>
      <c r="Q7" s="26" t="s">
        <v>153</v>
      </c>
      <c r="R7" s="26" t="s">
        <v>154</v>
      </c>
    </row>
    <row r="8" spans="2:18" ht="18.95" customHeight="1" x14ac:dyDescent="0.25">
      <c r="B8" s="21">
        <v>7</v>
      </c>
      <c r="C8" s="22" t="s">
        <v>126</v>
      </c>
      <c r="D8" s="24">
        <v>0.26493195835889799</v>
      </c>
      <c r="E8" s="32">
        <v>4.5782724125503096</v>
      </c>
      <c r="F8" s="23">
        <v>150816.22634321969</v>
      </c>
      <c r="G8" s="23">
        <v>99733.811276722117</v>
      </c>
      <c r="H8" s="23">
        <v>201898.6414097173</v>
      </c>
      <c r="I8" s="23">
        <v>14161.5</v>
      </c>
      <c r="J8" s="33">
        <f t="shared" ref="J8:J27" si="0">F8/I8</f>
        <v>10.649735292392734</v>
      </c>
      <c r="K8" s="25">
        <f t="shared" ref="K8:K26" si="1">G8/I8</f>
        <v>7.0426022156354993</v>
      </c>
      <c r="L8" s="25">
        <f t="shared" ref="L8:L26" si="2">H8/I8</f>
        <v>14.25686836914997</v>
      </c>
      <c r="M8" s="28">
        <f>INDEX(Indice_brecha!$J$8:$J$26,MATCH(B8,Indice_brecha!$C$8:$C$26,0))</f>
        <v>1.966110119407676</v>
      </c>
      <c r="N8" s="21">
        <f t="shared" ref="N8:N26" si="3">RANK(J8,$J$8:$J$26,0)</f>
        <v>1</v>
      </c>
      <c r="O8" s="21">
        <f t="shared" ref="O8:O26" si="4">RANK(M8,$M$8:$M$26,0)</f>
        <v>3</v>
      </c>
      <c r="Q8" s="30">
        <f t="shared" ref="Q8:Q26" si="5">L8-J8</f>
        <v>3.6071330767572363</v>
      </c>
      <c r="R8" s="30">
        <f t="shared" ref="R8:R26" si="6">J8-K8</f>
        <v>3.6071330767572345</v>
      </c>
    </row>
    <row r="9" spans="2:18" ht="18.95" customHeight="1" x14ac:dyDescent="0.25">
      <c r="B9" s="21">
        <v>8</v>
      </c>
      <c r="C9" s="22" t="s">
        <v>127</v>
      </c>
      <c r="D9" s="24">
        <v>0.30526440424984341</v>
      </c>
      <c r="E9" s="32">
        <v>4.75374962142826</v>
      </c>
      <c r="F9" s="23">
        <v>257172.74473991879</v>
      </c>
      <c r="G9" s="23">
        <v>178677.89735446981</v>
      </c>
      <c r="H9" s="23">
        <v>335667.5921253679</v>
      </c>
      <c r="I9" s="23">
        <v>28269</v>
      </c>
      <c r="J9" s="33">
        <f t="shared" si="0"/>
        <v>9.0973414248795077</v>
      </c>
      <c r="K9" s="25">
        <f t="shared" si="1"/>
        <v>6.3206302789086921</v>
      </c>
      <c r="L9" s="25">
        <f t="shared" si="2"/>
        <v>11.874052570850328</v>
      </c>
      <c r="M9" s="28">
        <f>INDEX(Indice_brecha!$J$8:$J$26,MATCH(B9,Indice_brecha!$C$8:$C$26,0))</f>
        <v>1.7169762806915718</v>
      </c>
      <c r="N9" s="21">
        <f t="shared" si="3"/>
        <v>2</v>
      </c>
      <c r="O9" s="21">
        <f t="shared" si="4"/>
        <v>4</v>
      </c>
      <c r="Q9" s="30">
        <f t="shared" si="5"/>
        <v>2.77671114597082</v>
      </c>
      <c r="R9" s="30">
        <f t="shared" si="6"/>
        <v>2.7767111459708156</v>
      </c>
    </row>
    <row r="10" spans="2:18" ht="18.95" customHeight="1" x14ac:dyDescent="0.25">
      <c r="B10" s="21">
        <v>4</v>
      </c>
      <c r="C10" s="22" t="s">
        <v>123</v>
      </c>
      <c r="D10" s="24">
        <v>0.2556372832984799</v>
      </c>
      <c r="E10" s="32">
        <v>4.5119473906312439</v>
      </c>
      <c r="F10" s="23">
        <v>78317.038111322297</v>
      </c>
      <c r="G10" s="23">
        <v>51224.346140484056</v>
      </c>
      <c r="H10" s="23">
        <v>105409.7300821606</v>
      </c>
      <c r="I10" s="23">
        <v>8746.5</v>
      </c>
      <c r="J10" s="33">
        <f t="shared" si="0"/>
        <v>8.9541002814065394</v>
      </c>
      <c r="K10" s="25">
        <f t="shared" si="1"/>
        <v>5.856553608927463</v>
      </c>
      <c r="L10" s="25">
        <f t="shared" si="2"/>
        <v>12.051646953885623</v>
      </c>
      <c r="M10" s="28">
        <f>INDEX(Indice_brecha!$J$8:$J$26,MATCH(B10,Indice_brecha!$C$8:$C$26,0))</f>
        <v>1.5442032013914186</v>
      </c>
      <c r="N10" s="21">
        <f t="shared" si="3"/>
        <v>3</v>
      </c>
      <c r="O10" s="21">
        <f t="shared" si="4"/>
        <v>5</v>
      </c>
      <c r="Q10" s="30">
        <f t="shared" si="5"/>
        <v>3.0975466724790834</v>
      </c>
      <c r="R10" s="30">
        <f t="shared" si="6"/>
        <v>3.0975466724790763</v>
      </c>
    </row>
    <row r="11" spans="2:18" ht="18.95" customHeight="1" x14ac:dyDescent="0.25">
      <c r="B11" s="21">
        <v>11</v>
      </c>
      <c r="C11" s="22" t="s">
        <v>130</v>
      </c>
      <c r="D11" s="24">
        <v>0.2374442532913989</v>
      </c>
      <c r="E11" s="32">
        <v>4.5206325067694557</v>
      </c>
      <c r="F11" s="23">
        <v>236123.35091033889</v>
      </c>
      <c r="G11" s="23">
        <v>148011.8600389066</v>
      </c>
      <c r="H11" s="23">
        <v>324234.8417817711</v>
      </c>
      <c r="I11" s="23">
        <v>28713</v>
      </c>
      <c r="J11" s="33">
        <f t="shared" si="0"/>
        <v>8.2235694950140665</v>
      </c>
      <c r="K11" s="25">
        <f t="shared" si="1"/>
        <v>5.1548727070980602</v>
      </c>
      <c r="L11" s="25">
        <f t="shared" si="2"/>
        <v>11.29226628293007</v>
      </c>
      <c r="M11" s="28">
        <f>INDEX(Indice_brecha!$J$8:$J$26,MATCH(B11,Indice_brecha!$C$8:$C$26,0))</f>
        <v>0.2317798284958752</v>
      </c>
      <c r="N11" s="21">
        <f t="shared" si="3"/>
        <v>4</v>
      </c>
      <c r="O11" s="21">
        <f t="shared" si="4"/>
        <v>8</v>
      </c>
      <c r="Q11" s="30">
        <f t="shared" si="5"/>
        <v>3.0686967879160036</v>
      </c>
      <c r="R11" s="30">
        <f t="shared" si="6"/>
        <v>3.0686967879160063</v>
      </c>
    </row>
    <row r="12" spans="2:18" ht="18.95" customHeight="1" x14ac:dyDescent="0.25">
      <c r="B12" s="21">
        <v>6</v>
      </c>
      <c r="C12" s="22" t="s">
        <v>125</v>
      </c>
      <c r="D12" s="24">
        <v>0.29300926755993278</v>
      </c>
      <c r="E12" s="32">
        <v>4.6930106976228529</v>
      </c>
      <c r="F12" s="23">
        <v>40897.647547480308</v>
      </c>
      <c r="G12" s="23">
        <v>28058.843023285372</v>
      </c>
      <c r="H12" s="23">
        <v>53736.45207167523</v>
      </c>
      <c r="I12" s="23">
        <v>5086.5</v>
      </c>
      <c r="J12" s="33">
        <f t="shared" si="0"/>
        <v>8.0404300692972193</v>
      </c>
      <c r="K12" s="25">
        <f t="shared" si="1"/>
        <v>5.5163359919955512</v>
      </c>
      <c r="L12" s="25">
        <f t="shared" si="2"/>
        <v>10.564524146598885</v>
      </c>
      <c r="M12" s="28">
        <f>INDEX(Indice_brecha!$J$8:$J$26,MATCH(B12,Indice_brecha!$C$8:$C$26,0))</f>
        <v>-0.7007249488574292</v>
      </c>
      <c r="N12" s="21">
        <f t="shared" si="3"/>
        <v>5</v>
      </c>
      <c r="O12" s="21">
        <f t="shared" si="4"/>
        <v>12</v>
      </c>
      <c r="Q12" s="30">
        <f t="shared" si="5"/>
        <v>2.5240940773016654</v>
      </c>
      <c r="R12" s="30">
        <f t="shared" si="6"/>
        <v>2.524094077301668</v>
      </c>
    </row>
    <row r="13" spans="2:18" ht="18.95" customHeight="1" x14ac:dyDescent="0.25">
      <c r="B13" s="21">
        <v>5</v>
      </c>
      <c r="C13" s="22" t="s">
        <v>124</v>
      </c>
      <c r="D13" s="24">
        <v>0.1949987130832033</v>
      </c>
      <c r="E13" s="32">
        <v>4.2069504808861113</v>
      </c>
      <c r="F13" s="23">
        <v>57411.911103382889</v>
      </c>
      <c r="G13" s="23">
        <v>33134.983123507263</v>
      </c>
      <c r="H13" s="23">
        <v>81688.839083258528</v>
      </c>
      <c r="I13" s="23">
        <v>7578</v>
      </c>
      <c r="J13" s="33">
        <f t="shared" si="0"/>
        <v>7.576129731246092</v>
      </c>
      <c r="K13" s="25">
        <f t="shared" si="1"/>
        <v>4.3725235053453764</v>
      </c>
      <c r="L13" s="25">
        <f t="shared" si="2"/>
        <v>10.77973595714681</v>
      </c>
      <c r="M13" s="28">
        <f>INDEX(Indice_brecha!$J$8:$J$26,MATCH(B13,Indice_brecha!$C$8:$C$26,0))</f>
        <v>2.6672309882365788</v>
      </c>
      <c r="N13" s="21">
        <f t="shared" si="3"/>
        <v>6</v>
      </c>
      <c r="O13" s="21">
        <f t="shared" si="4"/>
        <v>1</v>
      </c>
      <c r="Q13" s="30">
        <f t="shared" si="5"/>
        <v>3.2036062259007183</v>
      </c>
      <c r="R13" s="30">
        <f t="shared" si="6"/>
        <v>3.2036062259007156</v>
      </c>
    </row>
    <row r="14" spans="2:18" ht="18.95" customHeight="1" x14ac:dyDescent="0.25">
      <c r="B14" s="21">
        <v>18</v>
      </c>
      <c r="C14" s="22" t="s">
        <v>137</v>
      </c>
      <c r="D14" s="24">
        <v>0.22563913680226591</v>
      </c>
      <c r="E14" s="32">
        <v>4.3551828740143543</v>
      </c>
      <c r="F14" s="23">
        <v>66499.915120090212</v>
      </c>
      <c r="G14" s="23">
        <v>41342.319709320473</v>
      </c>
      <c r="H14" s="23">
        <v>91657.51053085996</v>
      </c>
      <c r="I14" s="23">
        <v>9136.5</v>
      </c>
      <c r="J14" s="33">
        <f t="shared" si="0"/>
        <v>7.2784890406709586</v>
      </c>
      <c r="K14" s="25">
        <f t="shared" si="1"/>
        <v>4.5249624811821239</v>
      </c>
      <c r="L14" s="25">
        <f t="shared" si="2"/>
        <v>10.032015600159793</v>
      </c>
      <c r="M14" s="28">
        <f>INDEX(Indice_brecha!$J$8:$J$26,MATCH(B14,Indice_brecha!$C$8:$C$26,0))</f>
        <v>0.91107103998490713</v>
      </c>
      <c r="N14" s="21">
        <f t="shared" si="3"/>
        <v>7</v>
      </c>
      <c r="O14" s="21">
        <f t="shared" si="4"/>
        <v>6</v>
      </c>
      <c r="Q14" s="30">
        <f t="shared" si="5"/>
        <v>2.7535265594888347</v>
      </c>
      <c r="R14" s="30">
        <f t="shared" si="6"/>
        <v>2.7535265594888347</v>
      </c>
    </row>
    <row r="15" spans="2:18" ht="18.95" customHeight="1" x14ac:dyDescent="0.25">
      <c r="B15" s="21">
        <v>19</v>
      </c>
      <c r="C15" s="22" t="s">
        <v>138</v>
      </c>
      <c r="D15" s="24">
        <v>0.2247944396496864</v>
      </c>
      <c r="E15" s="32">
        <v>4.4211723677873547</v>
      </c>
      <c r="F15" s="23">
        <v>111394.8614184452</v>
      </c>
      <c r="G15" s="23">
        <v>68453.766762853251</v>
      </c>
      <c r="H15" s="23">
        <v>154335.95607403721</v>
      </c>
      <c r="I15" s="23">
        <v>16015.5</v>
      </c>
      <c r="J15" s="33">
        <f t="shared" si="0"/>
        <v>6.9554407554210114</v>
      </c>
      <c r="K15" s="25">
        <f t="shared" si="1"/>
        <v>4.2742197722739377</v>
      </c>
      <c r="L15" s="25">
        <f t="shared" si="2"/>
        <v>9.6366617385680886</v>
      </c>
      <c r="M15" s="28">
        <f>INDEX(Indice_brecha!$J$8:$J$26,MATCH(B15,Indice_brecha!$C$8:$C$26,0))</f>
        <v>2.3382983922558367</v>
      </c>
      <c r="N15" s="21">
        <f t="shared" si="3"/>
        <v>8</v>
      </c>
      <c r="O15" s="21">
        <f t="shared" si="4"/>
        <v>2</v>
      </c>
      <c r="Q15" s="30">
        <f t="shared" si="5"/>
        <v>2.6812209831470772</v>
      </c>
      <c r="R15" s="30">
        <f t="shared" si="6"/>
        <v>2.6812209831470737</v>
      </c>
    </row>
    <row r="16" spans="2:18" ht="18.95" customHeight="1" x14ac:dyDescent="0.25">
      <c r="B16" s="21">
        <v>10</v>
      </c>
      <c r="C16" s="22" t="s">
        <v>129</v>
      </c>
      <c r="D16" s="24">
        <v>0.2357455826565665</v>
      </c>
      <c r="E16" s="32">
        <v>4.3938318076470937</v>
      </c>
      <c r="F16" s="23">
        <v>158545.0337216901</v>
      </c>
      <c r="G16" s="23">
        <v>100627.6975684046</v>
      </c>
      <c r="H16" s="23">
        <v>216462.36987497559</v>
      </c>
      <c r="I16" s="23">
        <v>25215</v>
      </c>
      <c r="J16" s="33">
        <f t="shared" si="0"/>
        <v>6.2877268975486853</v>
      </c>
      <c r="K16" s="25">
        <f t="shared" si="1"/>
        <v>3.9907871333890386</v>
      </c>
      <c r="L16" s="25">
        <f t="shared" si="2"/>
        <v>8.5846666617083311</v>
      </c>
      <c r="M16" s="28">
        <f>INDEX(Indice_brecha!$J$8:$J$26,MATCH(B16,Indice_brecha!$C$8:$C$26,0))</f>
        <v>0.49807170408291068</v>
      </c>
      <c r="N16" s="21">
        <f t="shared" si="3"/>
        <v>9</v>
      </c>
      <c r="O16" s="21">
        <f t="shared" si="4"/>
        <v>7</v>
      </c>
      <c r="Q16" s="30">
        <f t="shared" si="5"/>
        <v>2.2969397641596458</v>
      </c>
      <c r="R16" s="30">
        <f t="shared" si="6"/>
        <v>2.2969397641596467</v>
      </c>
    </row>
    <row r="17" spans="2:18" ht="18.95" customHeight="1" x14ac:dyDescent="0.25">
      <c r="B17" s="21">
        <v>1</v>
      </c>
      <c r="C17" s="22" t="s">
        <v>120</v>
      </c>
      <c r="D17" s="24">
        <v>0.1803824393725682</v>
      </c>
      <c r="E17" s="32">
        <v>4.2379256043188303</v>
      </c>
      <c r="F17" s="23">
        <v>85439.946233210678</v>
      </c>
      <c r="G17" s="23">
        <v>46096.163735074202</v>
      </c>
      <c r="H17" s="23">
        <v>124783.7287313472</v>
      </c>
      <c r="I17" s="23">
        <v>16792.5</v>
      </c>
      <c r="J17" s="33">
        <f t="shared" si="0"/>
        <v>5.0879825060717989</v>
      </c>
      <c r="K17" s="25">
        <f t="shared" si="1"/>
        <v>2.7450447363450472</v>
      </c>
      <c r="L17" s="25">
        <f t="shared" si="2"/>
        <v>7.4309202757985533</v>
      </c>
      <c r="M17" s="28">
        <f>INDEX(Indice_brecha!$J$8:$J$26,MATCH(B17,Indice_brecha!$C$8:$C$26,0))</f>
        <v>-1.408767612728798</v>
      </c>
      <c r="N17" s="21">
        <f t="shared" si="3"/>
        <v>10</v>
      </c>
      <c r="O17" s="21">
        <f t="shared" si="4"/>
        <v>16</v>
      </c>
      <c r="Q17" s="30">
        <f t="shared" si="5"/>
        <v>2.3429377697267544</v>
      </c>
      <c r="R17" s="30">
        <f t="shared" si="6"/>
        <v>2.3429377697267517</v>
      </c>
    </row>
    <row r="18" spans="2:18" ht="18.95" customHeight="1" x14ac:dyDescent="0.25">
      <c r="B18" s="21">
        <v>16</v>
      </c>
      <c r="C18" s="22" t="s">
        <v>135</v>
      </c>
      <c r="D18" s="24">
        <v>0.25389649542921428</v>
      </c>
      <c r="E18" s="32">
        <v>4.5284387552928038</v>
      </c>
      <c r="F18" s="23">
        <v>52691.6474894157</v>
      </c>
      <c r="G18" s="23">
        <v>34271.646834852538</v>
      </c>
      <c r="H18" s="23">
        <v>71111.648143978848</v>
      </c>
      <c r="I18" s="23">
        <v>10647</v>
      </c>
      <c r="J18" s="33">
        <f t="shared" si="0"/>
        <v>4.9489666093186528</v>
      </c>
      <c r="K18" s="25">
        <f t="shared" si="1"/>
        <v>3.2189017408521217</v>
      </c>
      <c r="L18" s="25">
        <f t="shared" si="2"/>
        <v>6.6790314777851831</v>
      </c>
      <c r="M18" s="28">
        <f>INDEX(Indice_brecha!$J$8:$J$26,MATCH(B18,Indice_brecha!$C$8:$C$26,0))</f>
        <v>-0.69259324577938963</v>
      </c>
      <c r="N18" s="21">
        <f t="shared" si="3"/>
        <v>11</v>
      </c>
      <c r="O18" s="21">
        <f t="shared" si="4"/>
        <v>11</v>
      </c>
      <c r="Q18" s="30">
        <f t="shared" si="5"/>
        <v>1.7300648684665303</v>
      </c>
      <c r="R18" s="30">
        <f t="shared" si="6"/>
        <v>1.7300648684665312</v>
      </c>
    </row>
    <row r="19" spans="2:18" ht="18.95" customHeight="1" x14ac:dyDescent="0.25">
      <c r="B19" s="21">
        <v>9</v>
      </c>
      <c r="C19" s="22" t="s">
        <v>128</v>
      </c>
      <c r="D19" s="24">
        <v>0.23495799608067369</v>
      </c>
      <c r="E19" s="32">
        <v>4.4557733054594744</v>
      </c>
      <c r="F19" s="23">
        <v>74742.25317522703</v>
      </c>
      <c r="G19" s="23">
        <v>46960.790002869449</v>
      </c>
      <c r="H19" s="23">
        <v>102523.7163475846</v>
      </c>
      <c r="I19" s="23">
        <v>15823.5</v>
      </c>
      <c r="J19" s="33">
        <f t="shared" si="0"/>
        <v>4.7234968986145311</v>
      </c>
      <c r="K19" s="25">
        <f t="shared" si="1"/>
        <v>2.9677877841735048</v>
      </c>
      <c r="L19" s="25">
        <f t="shared" si="2"/>
        <v>6.4792060130555571</v>
      </c>
      <c r="M19" s="28">
        <f>INDEX(Indice_brecha!$J$8:$J$26,MATCH(B19,Indice_brecha!$C$8:$C$26,0))</f>
        <v>-1.6829249174135039</v>
      </c>
      <c r="N19" s="21">
        <f t="shared" si="3"/>
        <v>12</v>
      </c>
      <c r="O19" s="21">
        <f t="shared" si="4"/>
        <v>17</v>
      </c>
      <c r="Q19" s="30">
        <f t="shared" si="5"/>
        <v>1.755709114441026</v>
      </c>
      <c r="R19" s="30">
        <f t="shared" si="6"/>
        <v>1.7557091144410264</v>
      </c>
    </row>
    <row r="20" spans="2:18" ht="18.95" customHeight="1" x14ac:dyDescent="0.25">
      <c r="B20" s="21">
        <v>13</v>
      </c>
      <c r="C20" s="22" t="s">
        <v>132</v>
      </c>
      <c r="D20" s="24">
        <v>0.3655696724649371</v>
      </c>
      <c r="E20" s="32">
        <v>5.4321206561031374</v>
      </c>
      <c r="F20" s="23">
        <v>49726.249127370611</v>
      </c>
      <c r="G20" s="23">
        <v>35243.83303690546</v>
      </c>
      <c r="H20" s="23">
        <v>64208.665217835762</v>
      </c>
      <c r="I20" s="23">
        <v>13236</v>
      </c>
      <c r="J20" s="33">
        <f t="shared" si="0"/>
        <v>3.7568940108318682</v>
      </c>
      <c r="K20" s="25">
        <f t="shared" si="1"/>
        <v>2.6627253729907419</v>
      </c>
      <c r="L20" s="25">
        <f t="shared" si="2"/>
        <v>4.8510626486729951</v>
      </c>
      <c r="M20" s="28">
        <f>INDEX(Indice_brecha!$J$8:$J$26,MATCH(B20,Indice_brecha!$C$8:$C$26,0))</f>
        <v>-2.0304983961382064</v>
      </c>
      <c r="N20" s="21">
        <f t="shared" si="3"/>
        <v>13</v>
      </c>
      <c r="O20" s="21">
        <f t="shared" si="4"/>
        <v>18</v>
      </c>
      <c r="Q20" s="30">
        <f t="shared" si="5"/>
        <v>1.0941686378411268</v>
      </c>
      <c r="R20" s="30">
        <f t="shared" si="6"/>
        <v>1.0941686378411264</v>
      </c>
    </row>
    <row r="21" spans="2:18" ht="18.95" customHeight="1" x14ac:dyDescent="0.25">
      <c r="B21" s="21">
        <v>15</v>
      </c>
      <c r="C21" s="22" t="s">
        <v>134</v>
      </c>
      <c r="D21" s="24">
        <v>0.22385231666322439</v>
      </c>
      <c r="E21" s="32">
        <v>4.3257067686986037</v>
      </c>
      <c r="F21" s="23">
        <v>14427.28180894481</v>
      </c>
      <c r="G21" s="23">
        <v>8962.9625045893608</v>
      </c>
      <c r="H21" s="23">
        <v>19891.601113300261</v>
      </c>
      <c r="I21" s="23">
        <v>4792.5</v>
      </c>
      <c r="J21" s="33">
        <f t="shared" si="0"/>
        <v>3.0103874405727304</v>
      </c>
      <c r="K21" s="25">
        <f t="shared" si="1"/>
        <v>1.8702060520791572</v>
      </c>
      <c r="L21" s="25">
        <f t="shared" si="2"/>
        <v>4.1505688290663034</v>
      </c>
      <c r="M21" s="28">
        <f>INDEX(Indice_brecha!$J$8:$J$26,MATCH(B21,Indice_brecha!$C$8:$C$26,0))</f>
        <v>-0.31011027662841772</v>
      </c>
      <c r="N21" s="21">
        <f t="shared" si="3"/>
        <v>14</v>
      </c>
      <c r="O21" s="21">
        <f t="shared" si="4"/>
        <v>9</v>
      </c>
      <c r="Q21" s="30">
        <f t="shared" si="5"/>
        <v>1.140181388493573</v>
      </c>
      <c r="R21" s="30">
        <f t="shared" si="6"/>
        <v>1.1401813884935732</v>
      </c>
    </row>
    <row r="22" spans="2:18" ht="18.95" customHeight="1" x14ac:dyDescent="0.25">
      <c r="B22" s="21">
        <v>12</v>
      </c>
      <c r="C22" s="22" t="s">
        <v>131</v>
      </c>
      <c r="D22" s="24">
        <v>0.2078732626644432</v>
      </c>
      <c r="E22" s="32">
        <v>4.2865119365985356</v>
      </c>
      <c r="F22" s="23">
        <v>24398.916331976361</v>
      </c>
      <c r="G22" s="23">
        <v>14537.665311868561</v>
      </c>
      <c r="H22" s="23">
        <v>34260.167352084172</v>
      </c>
      <c r="I22" s="23">
        <v>10053</v>
      </c>
      <c r="J22" s="33">
        <f t="shared" si="0"/>
        <v>2.4270283827689605</v>
      </c>
      <c r="K22" s="25">
        <f t="shared" si="1"/>
        <v>1.4461021895820712</v>
      </c>
      <c r="L22" s="25">
        <f t="shared" si="2"/>
        <v>3.4079545759558512</v>
      </c>
      <c r="M22" s="28">
        <f>INDEX(Indice_brecha!$J$8:$J$26,MATCH(B22,Indice_brecha!$C$8:$C$26,0))</f>
        <v>-0.7236455544608652</v>
      </c>
      <c r="N22" s="21">
        <f t="shared" si="3"/>
        <v>15</v>
      </c>
      <c r="O22" s="21">
        <f t="shared" si="4"/>
        <v>13</v>
      </c>
      <c r="Q22" s="30">
        <f t="shared" si="5"/>
        <v>0.98092619318689067</v>
      </c>
      <c r="R22" s="30">
        <f t="shared" si="6"/>
        <v>0.98092619318688934</v>
      </c>
    </row>
    <row r="23" spans="2:18" ht="18.95" customHeight="1" x14ac:dyDescent="0.25">
      <c r="B23" s="21">
        <v>2</v>
      </c>
      <c r="C23" s="22" t="s">
        <v>121</v>
      </c>
      <c r="D23" s="24">
        <v>0.24949576780845709</v>
      </c>
      <c r="E23" s="32">
        <v>4.9357232934252382</v>
      </c>
      <c r="F23" s="23">
        <v>34496.282840268512</v>
      </c>
      <c r="G23" s="23">
        <v>21120.599069602431</v>
      </c>
      <c r="H23" s="23">
        <v>47871.966610934593</v>
      </c>
      <c r="I23" s="23">
        <v>18568.5</v>
      </c>
      <c r="J23" s="33">
        <f t="shared" si="0"/>
        <v>1.8577851113589419</v>
      </c>
      <c r="K23" s="25">
        <f t="shared" si="1"/>
        <v>1.1374423927405246</v>
      </c>
      <c r="L23" s="25">
        <f t="shared" si="2"/>
        <v>2.5781278299773591</v>
      </c>
      <c r="M23" s="28">
        <f>INDEX(Indice_brecha!$J$8:$J$26,MATCH(B23,Indice_brecha!$C$8:$C$26,0))</f>
        <v>-0.97618727147690576</v>
      </c>
      <c r="N23" s="21">
        <f t="shared" si="3"/>
        <v>16</v>
      </c>
      <c r="O23" s="21">
        <f t="shared" si="4"/>
        <v>15</v>
      </c>
      <c r="Q23" s="30">
        <f t="shared" si="5"/>
        <v>0.72034271861841725</v>
      </c>
      <c r="R23" s="30">
        <f t="shared" si="6"/>
        <v>0.72034271861841725</v>
      </c>
    </row>
    <row r="24" spans="2:18" ht="18.95" customHeight="1" x14ac:dyDescent="0.25">
      <c r="B24" s="21">
        <v>3</v>
      </c>
      <c r="C24" s="22" t="s">
        <v>122</v>
      </c>
      <c r="D24" s="24">
        <v>0.22754603661744599</v>
      </c>
      <c r="E24" s="32">
        <v>4.3641125432489467</v>
      </c>
      <c r="F24" s="23">
        <v>20307.11849188734</v>
      </c>
      <c r="G24" s="23">
        <v>12673.48963961705</v>
      </c>
      <c r="H24" s="23">
        <v>27940.74734415764</v>
      </c>
      <c r="I24" s="23">
        <v>12810</v>
      </c>
      <c r="J24" s="33">
        <f t="shared" si="0"/>
        <v>1.5852551515915176</v>
      </c>
      <c r="K24" s="25">
        <f t="shared" si="1"/>
        <v>0.98934345352201791</v>
      </c>
      <c r="L24" s="25">
        <f t="shared" si="2"/>
        <v>2.1811668496610181</v>
      </c>
      <c r="M24" s="28">
        <f>INDEX(Indice_brecha!$J$8:$J$26,MATCH(B24,Indice_brecha!$C$8:$C$26,0))</f>
        <v>-0.38642357658119475</v>
      </c>
      <c r="N24" s="21">
        <f t="shared" si="3"/>
        <v>17</v>
      </c>
      <c r="O24" s="21">
        <f t="shared" si="4"/>
        <v>10</v>
      </c>
      <c r="Q24" s="30">
        <f t="shared" si="5"/>
        <v>0.59591169806950051</v>
      </c>
      <c r="R24" s="30">
        <f t="shared" si="6"/>
        <v>0.59591169806949973</v>
      </c>
    </row>
    <row r="25" spans="2:18" ht="18.95" customHeight="1" x14ac:dyDescent="0.25">
      <c r="B25" s="21">
        <v>17</v>
      </c>
      <c r="C25" s="22" t="s">
        <v>136</v>
      </c>
      <c r="D25" s="24">
        <v>0.20251544658713941</v>
      </c>
      <c r="E25" s="32">
        <v>4.1381485051026123</v>
      </c>
      <c r="F25" s="23">
        <v>2924.3230487182932</v>
      </c>
      <c r="G25" s="23">
        <v>1753.127706210131</v>
      </c>
      <c r="H25" s="23">
        <v>4095.5183912264552</v>
      </c>
      <c r="I25" s="23">
        <v>2791.5</v>
      </c>
      <c r="J25" s="33">
        <f t="shared" si="0"/>
        <v>1.0475812461824443</v>
      </c>
      <c r="K25" s="25">
        <f t="shared" si="1"/>
        <v>0.62802353795813393</v>
      </c>
      <c r="L25" s="25">
        <f t="shared" si="2"/>
        <v>1.4671389544067546</v>
      </c>
      <c r="M25" s="28">
        <f>INDEX(Indice_brecha!$J$8:$J$26,MATCH(B25,Indice_brecha!$C$8:$C$26,0))</f>
        <v>-0.84540390842906921</v>
      </c>
      <c r="N25" s="21">
        <f t="shared" si="3"/>
        <v>18</v>
      </c>
      <c r="O25" s="21">
        <f t="shared" si="4"/>
        <v>14</v>
      </c>
      <c r="Q25" s="30">
        <f t="shared" si="5"/>
        <v>0.41955770822431027</v>
      </c>
      <c r="R25" s="30">
        <f t="shared" si="6"/>
        <v>0.41955770822431038</v>
      </c>
    </row>
    <row r="26" spans="2:18" ht="18.95" customHeight="1" x14ac:dyDescent="0.25">
      <c r="B26" s="21">
        <v>14</v>
      </c>
      <c r="C26" s="22" t="s">
        <v>133</v>
      </c>
      <c r="D26" s="24">
        <v>0.27302391437815449</v>
      </c>
      <c r="E26" s="32">
        <v>4.638290684359319</v>
      </c>
      <c r="F26" s="23">
        <v>18499.281366520619</v>
      </c>
      <c r="G26" s="23">
        <v>12339.45879327798</v>
      </c>
      <c r="H26" s="23">
        <v>24659.103939763259</v>
      </c>
      <c r="I26" s="23">
        <v>26367</v>
      </c>
      <c r="J26" s="33">
        <f t="shared" si="0"/>
        <v>0.7016073639974445</v>
      </c>
      <c r="K26" s="25">
        <f t="shared" si="1"/>
        <v>0.46798872807972008</v>
      </c>
      <c r="L26" s="25">
        <f t="shared" si="2"/>
        <v>0.93522599991516897</v>
      </c>
      <c r="M26" s="28">
        <f>INDEX(Indice_brecha!$J$8:$J$26,MATCH(B26,Indice_brecha!$C$8:$C$26,0))</f>
        <v>-2.116461846052986</v>
      </c>
      <c r="N26" s="21">
        <f t="shared" si="3"/>
        <v>19</v>
      </c>
      <c r="O26" s="21">
        <f t="shared" si="4"/>
        <v>19</v>
      </c>
      <c r="Q26" s="30">
        <f t="shared" si="5"/>
        <v>0.23361863591772447</v>
      </c>
      <c r="R26" s="30">
        <f t="shared" si="6"/>
        <v>0.23361863591772442</v>
      </c>
    </row>
    <row r="27" spans="2:18" ht="18.95" customHeight="1" x14ac:dyDescent="0.25">
      <c r="B27" s="34"/>
      <c r="C27" s="35" t="s">
        <v>184</v>
      </c>
      <c r="D27" s="36"/>
      <c r="E27" s="37"/>
      <c r="F27" s="38">
        <f>SUM(F8:F26)</f>
        <v>1534832.0289294284</v>
      </c>
      <c r="G27" s="38"/>
      <c r="H27" s="38"/>
      <c r="I27" s="38">
        <f>SUM(I8:I26)</f>
        <v>274803</v>
      </c>
      <c r="J27" s="37">
        <f t="shared" si="0"/>
        <v>5.5852084181374604</v>
      </c>
      <c r="K27" s="37"/>
      <c r="L27" s="37"/>
      <c r="M27" s="39"/>
      <c r="N27" s="34"/>
      <c r="O27" s="34"/>
    </row>
    <row r="29" spans="2:18" ht="24" customHeight="1" x14ac:dyDescent="0.25">
      <c r="B29" s="132" t="s">
        <v>185</v>
      </c>
      <c r="C29" s="83"/>
      <c r="D29" s="83"/>
      <c r="E29" s="83"/>
      <c r="F29" s="83"/>
      <c r="G29" s="83"/>
      <c r="H29" s="83"/>
      <c r="I29" s="83"/>
      <c r="J29" s="40">
        <f>CORREL(N8:N26,O8:O26)</f>
        <v>0.71578947368421053</v>
      </c>
    </row>
    <row r="30" spans="2:18" ht="31.15" customHeight="1" x14ac:dyDescent="0.25">
      <c r="B30" s="129" t="s">
        <v>186</v>
      </c>
      <c r="C30" s="83"/>
      <c r="D30" s="83"/>
      <c r="E30" s="83"/>
      <c r="F30" s="83"/>
      <c r="G30" s="83"/>
      <c r="H30" s="83"/>
      <c r="I30" s="83"/>
      <c r="J30" s="83"/>
      <c r="K30" s="83"/>
      <c r="L30" s="83"/>
      <c r="M30" s="83"/>
      <c r="N30" s="83"/>
      <c r="O30" s="83"/>
    </row>
    <row r="32" spans="2:18" ht="24" customHeight="1" x14ac:dyDescent="0.3">
      <c r="B32" s="31" t="s">
        <v>187</v>
      </c>
      <c r="J32" s="31" t="s">
        <v>188</v>
      </c>
    </row>
    <row r="52" spans="2:15" x14ac:dyDescent="0.25">
      <c r="J52" s="41" t="s">
        <v>189</v>
      </c>
    </row>
    <row r="54" spans="2:15" ht="24" customHeight="1" x14ac:dyDescent="0.3">
      <c r="B54" s="31" t="s">
        <v>190</v>
      </c>
    </row>
    <row r="55" spans="2:15" ht="33.950000000000003" customHeight="1" x14ac:dyDescent="0.25">
      <c r="B55" s="135" t="s">
        <v>191</v>
      </c>
      <c r="C55" s="83"/>
      <c r="D55" s="83"/>
      <c r="E55" s="83"/>
      <c r="F55" s="83"/>
      <c r="G55" s="83"/>
      <c r="H55" s="20" t="s">
        <v>192</v>
      </c>
      <c r="I55" s="20" t="s">
        <v>178</v>
      </c>
      <c r="J55" s="20" t="s">
        <v>179</v>
      </c>
      <c r="K55" s="20" t="s">
        <v>193</v>
      </c>
      <c r="L55" s="20" t="s">
        <v>194</v>
      </c>
      <c r="M55" s="20" t="s">
        <v>195</v>
      </c>
      <c r="N55" s="20" t="s">
        <v>196</v>
      </c>
    </row>
    <row r="56" spans="2:15" ht="18.95" customHeight="1" x14ac:dyDescent="0.25">
      <c r="B56" s="133" t="s">
        <v>197</v>
      </c>
      <c r="C56" s="134"/>
      <c r="D56" s="134"/>
      <c r="E56" s="134"/>
      <c r="F56" s="134"/>
      <c r="G56" s="134"/>
      <c r="H56" s="28">
        <v>-8.4210526315789402E-2</v>
      </c>
      <c r="I56" s="28">
        <v>-0.569158476716356</v>
      </c>
      <c r="J56" s="28">
        <v>0.40160284495968013</v>
      </c>
      <c r="K56" s="42">
        <v>0.73178269464115531</v>
      </c>
      <c r="L56" s="42">
        <v>0.85374647708134788</v>
      </c>
      <c r="M56" s="21">
        <v>19</v>
      </c>
      <c r="N56" s="21" t="str">
        <f t="shared" ref="N56:N62" si="7">IF(L56&lt;0.05,"Sí","No")</f>
        <v>No</v>
      </c>
    </row>
    <row r="57" spans="2:15" ht="18.95" customHeight="1" x14ac:dyDescent="0.25">
      <c r="B57" s="133" t="s">
        <v>198</v>
      </c>
      <c r="C57" s="134"/>
      <c r="D57" s="134"/>
      <c r="E57" s="134"/>
      <c r="F57" s="134"/>
      <c r="G57" s="134"/>
      <c r="H57" s="28">
        <v>0.22456140350877191</v>
      </c>
      <c r="I57" s="28">
        <v>-0.33044634927683331</v>
      </c>
      <c r="J57" s="28">
        <v>0.66400746003552391</v>
      </c>
      <c r="K57" s="42">
        <v>0.35534598974510739</v>
      </c>
      <c r="L57" s="42">
        <v>0.62185548205393804</v>
      </c>
      <c r="M57" s="21">
        <v>19</v>
      </c>
      <c r="N57" s="21" t="str">
        <f t="shared" si="7"/>
        <v>No</v>
      </c>
    </row>
    <row r="58" spans="2:15" ht="18.95" customHeight="1" x14ac:dyDescent="0.25">
      <c r="B58" s="133" t="s">
        <v>199</v>
      </c>
      <c r="C58" s="134"/>
      <c r="D58" s="134"/>
      <c r="E58" s="134"/>
      <c r="F58" s="134"/>
      <c r="G58" s="134"/>
      <c r="H58" s="28">
        <v>-0.11052631578947369</v>
      </c>
      <c r="I58" s="28">
        <v>-0.59255380707133543</v>
      </c>
      <c r="J58" s="28">
        <v>0.42937777777777741</v>
      </c>
      <c r="K58" s="42">
        <v>0.65238568732726732</v>
      </c>
      <c r="L58" s="42">
        <v>0.85374647708134788</v>
      </c>
      <c r="M58" s="21">
        <v>19</v>
      </c>
      <c r="N58" s="21" t="str">
        <f t="shared" si="7"/>
        <v>No</v>
      </c>
    </row>
    <row r="59" spans="2:15" ht="18.95" customHeight="1" x14ac:dyDescent="0.25">
      <c r="B59" s="133" t="s">
        <v>200</v>
      </c>
      <c r="C59" s="134"/>
      <c r="D59" s="134"/>
      <c r="E59" s="134"/>
      <c r="F59" s="134"/>
      <c r="G59" s="134"/>
      <c r="H59" s="28">
        <v>2.6315789473684199E-2</v>
      </c>
      <c r="I59" s="28">
        <v>-0.49203464102873151</v>
      </c>
      <c r="J59" s="28">
        <v>0.50449978704273324</v>
      </c>
      <c r="K59" s="42">
        <v>0.91483789653547443</v>
      </c>
      <c r="L59" s="42">
        <v>0.91483789653547443</v>
      </c>
      <c r="M59" s="21">
        <v>19</v>
      </c>
      <c r="N59" s="21" t="str">
        <f t="shared" si="7"/>
        <v>No</v>
      </c>
    </row>
    <row r="60" spans="2:15" ht="18.95" customHeight="1" x14ac:dyDescent="0.25">
      <c r="B60" s="133" t="s">
        <v>201</v>
      </c>
      <c r="C60" s="134"/>
      <c r="D60" s="134"/>
      <c r="E60" s="134"/>
      <c r="F60" s="134"/>
      <c r="G60" s="134"/>
      <c r="H60" s="28">
        <v>-0.2491228070175438</v>
      </c>
      <c r="I60" s="28">
        <v>-0.69181368898782702</v>
      </c>
      <c r="J60" s="28">
        <v>0.30042431020224009</v>
      </c>
      <c r="K60" s="42">
        <v>0.30370908654883683</v>
      </c>
      <c r="L60" s="42">
        <v>0.62185548205393804</v>
      </c>
      <c r="M60" s="21">
        <v>19</v>
      </c>
      <c r="N60" s="21" t="str">
        <f t="shared" si="7"/>
        <v>No</v>
      </c>
    </row>
    <row r="61" spans="2:15" ht="18.95" customHeight="1" x14ac:dyDescent="0.25">
      <c r="B61" s="133" t="s">
        <v>202</v>
      </c>
      <c r="C61" s="134"/>
      <c r="D61" s="134"/>
      <c r="E61" s="134"/>
      <c r="F61" s="134"/>
      <c r="G61" s="134"/>
      <c r="H61" s="28">
        <v>0.34561403508771932</v>
      </c>
      <c r="I61" s="28">
        <v>-0.20532730061109669</v>
      </c>
      <c r="J61" s="28">
        <v>0.76481254030153212</v>
      </c>
      <c r="K61" s="42">
        <v>0.14724536947686551</v>
      </c>
      <c r="L61" s="42">
        <v>0.51535879316902944</v>
      </c>
      <c r="M61" s="21">
        <v>19</v>
      </c>
      <c r="N61" s="21" t="str">
        <f t="shared" si="7"/>
        <v>No</v>
      </c>
    </row>
    <row r="62" spans="2:15" ht="18.95" customHeight="1" x14ac:dyDescent="0.25">
      <c r="B62" s="133" t="s">
        <v>203</v>
      </c>
      <c r="C62" s="134"/>
      <c r="D62" s="134"/>
      <c r="E62" s="134"/>
      <c r="F62" s="134"/>
      <c r="G62" s="134"/>
      <c r="H62" s="28">
        <v>0.71578947368421042</v>
      </c>
      <c r="I62" s="28">
        <v>0.4121535667984571</v>
      </c>
      <c r="J62" s="28">
        <v>0.8762464016659518</v>
      </c>
      <c r="K62" s="42">
        <v>5.6846911390540003E-4</v>
      </c>
      <c r="L62" s="42">
        <v>3.9792837973378001E-3</v>
      </c>
      <c r="M62" s="21">
        <v>19</v>
      </c>
      <c r="N62" s="21" t="str">
        <f t="shared" si="7"/>
        <v>Sí</v>
      </c>
    </row>
    <row r="63" spans="2:15" ht="19.7" customHeight="1" x14ac:dyDescent="0.25">
      <c r="B63" s="129" t="s">
        <v>204</v>
      </c>
      <c r="C63" s="83"/>
      <c r="D63" s="83"/>
      <c r="E63" s="83"/>
      <c r="F63" s="83"/>
      <c r="G63" s="83"/>
      <c r="H63" s="83"/>
      <c r="I63" s="83"/>
      <c r="J63" s="83"/>
      <c r="K63" s="83"/>
      <c r="L63" s="83"/>
      <c r="M63" s="83"/>
      <c r="N63" s="83"/>
      <c r="O63" s="83"/>
    </row>
  </sheetData>
  <mergeCells count="12">
    <mergeCell ref="B61:G61"/>
    <mergeCell ref="B57:G57"/>
    <mergeCell ref="B56:G56"/>
    <mergeCell ref="B58:G58"/>
    <mergeCell ref="B63:O63"/>
    <mergeCell ref="B62:G62"/>
    <mergeCell ref="B29:I29"/>
    <mergeCell ref="B59:G59"/>
    <mergeCell ref="B1:N1"/>
    <mergeCell ref="B60:G60"/>
    <mergeCell ref="B30:O30"/>
    <mergeCell ref="B55:G55"/>
  </mergeCells>
  <conditionalFormatting sqref="B56:N62">
    <cfRule type="expression" dxfId="11" priority="2">
      <formula>$N56="Sí"</formula>
    </cfRule>
  </conditionalFormatting>
  <conditionalFormatting sqref="J8:J26">
    <cfRule type="colorScale" priority="1">
      <colorScale>
        <cfvo type="min"/>
        <cfvo type="percentile" val="50"/>
        <cfvo type="max"/>
        <color rgb="FFFFF5DB"/>
        <color rgb="FFFADD95"/>
        <color rgb="FFF0BF4F"/>
      </colorScale>
    </cfRule>
  </conditionalFormatting>
  <hyperlinks>
    <hyperlink ref="O1" location="'Portada'!A1" display="← Portada" xr:uid="{00000000-0004-0000-04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31"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B0F24"/>
    <pageSetUpPr fitToPage="1"/>
  </sheetPr>
  <dimension ref="B1:T106"/>
  <sheetViews>
    <sheetView showGridLines="0" zoomScale="90" workbookViewId="0"/>
  </sheetViews>
  <sheetFormatPr baseColWidth="10" defaultColWidth="9.140625" defaultRowHeight="15" x14ac:dyDescent="0.25"/>
  <cols>
    <col min="1" max="1" width="2.42578125" customWidth="1"/>
    <col min="2" max="2" width="40" customWidth="1"/>
    <col min="3" max="3" width="22" customWidth="1"/>
    <col min="4" max="4" width="13" customWidth="1"/>
    <col min="5" max="6" width="11" customWidth="1"/>
    <col min="7" max="7" width="9" customWidth="1"/>
    <col min="8" max="8" width="10" customWidth="1"/>
    <col min="9" max="9" width="3" customWidth="1"/>
    <col min="10" max="17" width="11" customWidth="1"/>
    <col min="18" max="18" width="3" customWidth="1"/>
    <col min="19" max="20" width="10" customWidth="1"/>
  </cols>
  <sheetData>
    <row r="1" spans="2:20" ht="20.100000000000001" customHeight="1" x14ac:dyDescent="0.25">
      <c r="B1" s="116" t="s">
        <v>49</v>
      </c>
      <c r="C1" s="83"/>
      <c r="D1" s="83"/>
      <c r="E1" s="83"/>
      <c r="F1" s="83"/>
      <c r="G1" s="83"/>
      <c r="H1" s="83"/>
      <c r="I1" s="83"/>
      <c r="J1" s="83"/>
      <c r="K1" s="83"/>
      <c r="L1" s="83"/>
      <c r="M1" s="83"/>
      <c r="N1" s="83"/>
      <c r="O1" s="83"/>
      <c r="P1" s="83"/>
      <c r="Q1" s="14" t="s">
        <v>50</v>
      </c>
    </row>
    <row r="2" spans="2:20" ht="30" customHeight="1" x14ac:dyDescent="0.25">
      <c r="B2" s="15" t="s">
        <v>25</v>
      </c>
    </row>
    <row r="3" spans="2:20" ht="20.100000000000001" customHeight="1" x14ac:dyDescent="0.25">
      <c r="B3" s="16" t="s">
        <v>205</v>
      </c>
    </row>
    <row r="4" spans="2:20" ht="3" customHeight="1" x14ac:dyDescent="0.25">
      <c r="B4" s="2"/>
      <c r="C4" s="2"/>
      <c r="D4" s="2"/>
      <c r="E4" s="2"/>
      <c r="F4" s="2"/>
      <c r="G4" s="2"/>
      <c r="H4" s="2"/>
      <c r="I4" s="2"/>
      <c r="J4" s="2"/>
      <c r="K4" s="2"/>
      <c r="L4" s="2"/>
      <c r="M4" s="2"/>
      <c r="N4" s="2"/>
      <c r="O4" s="2"/>
      <c r="P4" s="2"/>
      <c r="Q4" s="2"/>
    </row>
    <row r="5" spans="2:20" ht="9.9499999999999993" customHeight="1" x14ac:dyDescent="0.25"/>
    <row r="6" spans="2:20" ht="44.65" customHeight="1" x14ac:dyDescent="0.25">
      <c r="B6" s="136" t="s">
        <v>206</v>
      </c>
      <c r="C6" s="99"/>
      <c r="D6" s="99"/>
      <c r="E6" s="99"/>
      <c r="F6" s="99"/>
      <c r="G6" s="99"/>
      <c r="H6" s="99"/>
      <c r="I6" s="99"/>
      <c r="J6" s="99"/>
      <c r="K6" s="99"/>
      <c r="L6" s="99"/>
      <c r="M6" s="99"/>
      <c r="N6" s="99"/>
      <c r="O6" s="99"/>
      <c r="P6" s="99"/>
      <c r="Q6" s="99"/>
    </row>
    <row r="8" spans="2:20" ht="24" customHeight="1" x14ac:dyDescent="0.3">
      <c r="B8" s="31" t="s">
        <v>207</v>
      </c>
      <c r="J8" s="31" t="s">
        <v>208</v>
      </c>
    </row>
    <row r="9" spans="2:20" ht="32.450000000000003" customHeight="1" x14ac:dyDescent="0.25">
      <c r="B9" s="84" t="s">
        <v>209</v>
      </c>
      <c r="C9" s="83"/>
      <c r="D9" s="83"/>
      <c r="E9" s="83"/>
      <c r="F9" s="83"/>
      <c r="G9" s="83"/>
      <c r="H9" s="83"/>
    </row>
    <row r="10" spans="2:20" ht="33.950000000000003" customHeight="1" x14ac:dyDescent="0.25">
      <c r="B10" s="20" t="s">
        <v>210</v>
      </c>
      <c r="C10" s="20" t="s">
        <v>211</v>
      </c>
      <c r="D10" s="20" t="s">
        <v>212</v>
      </c>
      <c r="E10" s="20" t="s">
        <v>178</v>
      </c>
      <c r="F10" s="20" t="s">
        <v>179</v>
      </c>
      <c r="G10" s="20" t="s">
        <v>193</v>
      </c>
      <c r="H10" s="20" t="s">
        <v>213</v>
      </c>
      <c r="S10" s="26" t="s">
        <v>153</v>
      </c>
      <c r="T10" s="26" t="s">
        <v>154</v>
      </c>
    </row>
    <row r="11" spans="2:20" ht="18.95" customHeight="1" x14ac:dyDescent="0.25">
      <c r="B11" s="22" t="s">
        <v>214</v>
      </c>
      <c r="C11" s="22" t="s">
        <v>215</v>
      </c>
      <c r="D11" s="43">
        <v>-1.0746395942024931</v>
      </c>
      <c r="E11" s="44">
        <v>-4.6382853539141244</v>
      </c>
      <c r="F11" s="44">
        <v>3.3498050193716802</v>
      </c>
      <c r="G11" s="42">
        <v>0.61062391264623872</v>
      </c>
      <c r="H11" s="21" t="str">
        <f t="shared" ref="H11:H22" si="0">IF(OR(E11&gt;0,F11&lt;0),"Sí","No")</f>
        <v>No</v>
      </c>
      <c r="S11" s="30">
        <f t="shared" ref="S11:S22" si="1">F11-D11</f>
        <v>4.4244446135741731</v>
      </c>
      <c r="T11" s="30">
        <f t="shared" ref="T11:T22" si="2">D11-E11</f>
        <v>3.5636457597116316</v>
      </c>
    </row>
    <row r="12" spans="2:20" ht="18.95" customHeight="1" x14ac:dyDescent="0.25">
      <c r="B12" s="22" t="s">
        <v>216</v>
      </c>
      <c r="C12" s="22" t="s">
        <v>215</v>
      </c>
      <c r="D12" s="43">
        <v>2.6058981057486798E-2</v>
      </c>
      <c r="E12" s="44">
        <v>-0.1588035907716247</v>
      </c>
      <c r="F12" s="44">
        <v>0.18297575612794889</v>
      </c>
      <c r="G12" s="42">
        <v>0.80225003577694232</v>
      </c>
      <c r="H12" s="21" t="str">
        <f t="shared" si="0"/>
        <v>No</v>
      </c>
      <c r="S12" s="30">
        <f t="shared" si="1"/>
        <v>0.15691677507046209</v>
      </c>
      <c r="T12" s="30">
        <f t="shared" si="2"/>
        <v>0.1848625718291115</v>
      </c>
    </row>
    <row r="13" spans="2:20" ht="18.95" customHeight="1" x14ac:dyDescent="0.25">
      <c r="B13" s="22" t="s">
        <v>217</v>
      </c>
      <c r="C13" s="22" t="s">
        <v>215</v>
      </c>
      <c r="D13" s="43">
        <v>-8.1688440081980769</v>
      </c>
      <c r="E13" s="44">
        <v>-10.491070869597021</v>
      </c>
      <c r="F13" s="44">
        <v>-3.4132815411179882</v>
      </c>
      <c r="G13" s="42">
        <v>3.4457034002132637E-8</v>
      </c>
      <c r="H13" s="21" t="str">
        <f t="shared" si="0"/>
        <v>Sí</v>
      </c>
      <c r="S13" s="30">
        <f t="shared" si="1"/>
        <v>4.7555624670800887</v>
      </c>
      <c r="T13" s="30">
        <f t="shared" si="2"/>
        <v>2.3222268613989439</v>
      </c>
    </row>
    <row r="14" spans="2:20" ht="18.95" customHeight="1" x14ac:dyDescent="0.25">
      <c r="B14" s="22" t="s">
        <v>218</v>
      </c>
      <c r="C14" s="22" t="s">
        <v>215</v>
      </c>
      <c r="D14" s="43">
        <v>1.7524959269907161</v>
      </c>
      <c r="E14" s="44">
        <v>-3.095616587234014</v>
      </c>
      <c r="F14" s="44">
        <v>7.0167216167343538</v>
      </c>
      <c r="G14" s="42">
        <v>0.5377352224037304</v>
      </c>
      <c r="H14" s="21" t="str">
        <f t="shared" si="0"/>
        <v>No</v>
      </c>
      <c r="S14" s="30">
        <f t="shared" si="1"/>
        <v>5.2642256897436379</v>
      </c>
      <c r="T14" s="30">
        <f t="shared" si="2"/>
        <v>4.8481125142247299</v>
      </c>
    </row>
    <row r="15" spans="2:20" ht="18.95" customHeight="1" x14ac:dyDescent="0.25">
      <c r="B15" s="22" t="s">
        <v>219</v>
      </c>
      <c r="C15" s="22" t="s">
        <v>220</v>
      </c>
      <c r="D15" s="43">
        <v>-0.10480581797991211</v>
      </c>
      <c r="E15" s="44">
        <v>-5.6097106269729364</v>
      </c>
      <c r="F15" s="44">
        <v>1.7398451350593529</v>
      </c>
      <c r="G15" s="42">
        <v>0.92692910796210282</v>
      </c>
      <c r="H15" s="21" t="str">
        <f t="shared" si="0"/>
        <v>No</v>
      </c>
      <c r="S15" s="30">
        <f t="shared" si="1"/>
        <v>1.844650953039265</v>
      </c>
      <c r="T15" s="30">
        <f t="shared" si="2"/>
        <v>5.5049048089930244</v>
      </c>
    </row>
    <row r="16" spans="2:20" ht="18.95" customHeight="1" x14ac:dyDescent="0.25">
      <c r="B16" s="22" t="s">
        <v>221</v>
      </c>
      <c r="C16" s="22" t="s">
        <v>220</v>
      </c>
      <c r="D16" s="43">
        <v>0.46964279940151232</v>
      </c>
      <c r="E16" s="44">
        <v>1.53975632256311E-2</v>
      </c>
      <c r="F16" s="44">
        <v>1.3135888359735759</v>
      </c>
      <c r="G16" s="42">
        <v>6.4217520259407003E-3</v>
      </c>
      <c r="H16" s="21" t="str">
        <f t="shared" si="0"/>
        <v>Sí</v>
      </c>
      <c r="S16" s="30">
        <f t="shared" si="1"/>
        <v>0.84394603657206357</v>
      </c>
      <c r="T16" s="30">
        <f t="shared" si="2"/>
        <v>0.4542452361758812</v>
      </c>
    </row>
    <row r="17" spans="2:20" ht="18.95" customHeight="1" x14ac:dyDescent="0.25">
      <c r="B17" s="22" t="s">
        <v>222</v>
      </c>
      <c r="C17" s="22" t="s">
        <v>220</v>
      </c>
      <c r="D17" s="43">
        <v>-0.35314969903606419</v>
      </c>
      <c r="E17" s="44">
        <v>-1.9576225477449101</v>
      </c>
      <c r="F17" s="44">
        <v>2.029743514642691</v>
      </c>
      <c r="G17" s="42">
        <v>0.54917125700527936</v>
      </c>
      <c r="H17" s="21" t="str">
        <f t="shared" si="0"/>
        <v>No</v>
      </c>
      <c r="S17" s="30">
        <f t="shared" si="1"/>
        <v>2.3828932136787553</v>
      </c>
      <c r="T17" s="30">
        <f t="shared" si="2"/>
        <v>1.6044728487088458</v>
      </c>
    </row>
    <row r="18" spans="2:20" ht="18.95" customHeight="1" x14ac:dyDescent="0.25">
      <c r="B18" s="22" t="s">
        <v>223</v>
      </c>
      <c r="C18" s="22" t="s">
        <v>224</v>
      </c>
      <c r="D18" s="43">
        <v>13.28718212898994</v>
      </c>
      <c r="E18" s="44">
        <v>6.2177022260144588</v>
      </c>
      <c r="F18" s="44">
        <v>17.500551261439501</v>
      </c>
      <c r="G18" s="42">
        <v>4.2278527336051171E-6</v>
      </c>
      <c r="H18" s="21" t="str">
        <f t="shared" si="0"/>
        <v>Sí</v>
      </c>
      <c r="S18" s="30">
        <f t="shared" si="1"/>
        <v>4.2133691324495608</v>
      </c>
      <c r="T18" s="30">
        <f t="shared" si="2"/>
        <v>7.0694799029754813</v>
      </c>
    </row>
    <row r="19" spans="2:20" ht="18.95" customHeight="1" x14ac:dyDescent="0.25">
      <c r="B19" s="22" t="s">
        <v>225</v>
      </c>
      <c r="C19" s="22" t="s">
        <v>224</v>
      </c>
      <c r="D19" s="43">
        <v>-2.870836454563146</v>
      </c>
      <c r="E19" s="44">
        <v>-7.4040351495628611</v>
      </c>
      <c r="F19" s="44">
        <v>3.974472278314614</v>
      </c>
      <c r="G19" s="42">
        <v>0.25356338521667721</v>
      </c>
      <c r="H19" s="21" t="str">
        <f t="shared" si="0"/>
        <v>No</v>
      </c>
      <c r="S19" s="30">
        <f t="shared" si="1"/>
        <v>6.8453087328777595</v>
      </c>
      <c r="T19" s="30">
        <f t="shared" si="2"/>
        <v>4.5331986949997152</v>
      </c>
    </row>
    <row r="20" spans="2:20" ht="18.95" customHeight="1" x14ac:dyDescent="0.25">
      <c r="B20" s="22" t="s">
        <v>226</v>
      </c>
      <c r="C20" s="22" t="s">
        <v>224</v>
      </c>
      <c r="D20" s="43">
        <v>-6.8802082327944687</v>
      </c>
      <c r="E20" s="44">
        <v>-12.73129089626439</v>
      </c>
      <c r="F20" s="44">
        <v>-2.6420744035687429</v>
      </c>
      <c r="G20" s="42">
        <v>8.2378474143959008E-3</v>
      </c>
      <c r="H20" s="21" t="str">
        <f t="shared" si="0"/>
        <v>Sí</v>
      </c>
      <c r="S20" s="30">
        <f t="shared" si="1"/>
        <v>4.2381338292257258</v>
      </c>
      <c r="T20" s="30">
        <f t="shared" si="2"/>
        <v>5.8510826634699216</v>
      </c>
    </row>
    <row r="21" spans="2:20" ht="18.95" customHeight="1" x14ac:dyDescent="0.25">
      <c r="B21" s="22" t="s">
        <v>227</v>
      </c>
      <c r="C21" s="22" t="s">
        <v>224</v>
      </c>
      <c r="D21" s="43">
        <v>2.706978625157078</v>
      </c>
      <c r="E21" s="44">
        <v>-2.1269170136488049</v>
      </c>
      <c r="F21" s="44">
        <v>9.2193880617871873</v>
      </c>
      <c r="G21" s="42">
        <v>0.37312463584069061</v>
      </c>
      <c r="H21" s="21" t="str">
        <f t="shared" si="0"/>
        <v>No</v>
      </c>
      <c r="S21" s="30">
        <f t="shared" si="1"/>
        <v>6.5124094366301097</v>
      </c>
      <c r="T21" s="30">
        <f t="shared" si="2"/>
        <v>4.8338956388058829</v>
      </c>
    </row>
    <row r="22" spans="2:20" ht="18.95" customHeight="1" x14ac:dyDescent="0.25">
      <c r="B22" s="22" t="s">
        <v>228</v>
      </c>
      <c r="C22" s="22" t="s">
        <v>224</v>
      </c>
      <c r="D22" s="43">
        <v>14.689477533559799</v>
      </c>
      <c r="E22" s="44">
        <v>3.8603657550025989</v>
      </c>
      <c r="F22" s="44">
        <v>23.794378423930741</v>
      </c>
      <c r="G22" s="42">
        <v>7.9566072458401998E-3</v>
      </c>
      <c r="H22" s="21" t="str">
        <f t="shared" si="0"/>
        <v>Sí</v>
      </c>
      <c r="S22" s="30">
        <f t="shared" si="1"/>
        <v>9.1049008903709421</v>
      </c>
      <c r="T22" s="30">
        <f t="shared" si="2"/>
        <v>10.8291117785572</v>
      </c>
    </row>
    <row r="24" spans="2:20" ht="24" customHeight="1" x14ac:dyDescent="0.3">
      <c r="B24" s="31" t="s">
        <v>229</v>
      </c>
    </row>
    <row r="25" spans="2:20" ht="32.450000000000003" customHeight="1" x14ac:dyDescent="0.25">
      <c r="B25" s="84" t="s">
        <v>230</v>
      </c>
      <c r="C25" s="83"/>
      <c r="D25" s="83"/>
      <c r="E25" s="83"/>
      <c r="F25" s="83"/>
      <c r="G25" s="83"/>
      <c r="H25" s="83"/>
    </row>
    <row r="26" spans="2:20" ht="33.950000000000003" customHeight="1" x14ac:dyDescent="0.25">
      <c r="B26" s="20" t="s">
        <v>210</v>
      </c>
      <c r="C26" s="20" t="s">
        <v>211</v>
      </c>
      <c r="D26" s="20" t="s">
        <v>212</v>
      </c>
      <c r="E26" s="20" t="s">
        <v>178</v>
      </c>
      <c r="F26" s="20" t="s">
        <v>179</v>
      </c>
      <c r="G26" s="20" t="s">
        <v>193</v>
      </c>
      <c r="H26" s="20" t="s">
        <v>213</v>
      </c>
    </row>
    <row r="27" spans="2:20" ht="18.95" customHeight="1" x14ac:dyDescent="0.25">
      <c r="B27" s="22" t="s">
        <v>214</v>
      </c>
      <c r="C27" s="22" t="s">
        <v>215</v>
      </c>
      <c r="D27" s="43">
        <v>-1.388127658491161</v>
      </c>
      <c r="E27" s="44">
        <v>-4.6714704124392004</v>
      </c>
      <c r="F27" s="44">
        <v>2.2460660432382809</v>
      </c>
      <c r="G27" s="42">
        <v>0.4435755598649489</v>
      </c>
      <c r="H27" s="21" t="str">
        <f t="shared" ref="H27:H40" si="3">IF(OR(E27&gt;0,F27&lt;0),"Sí","No")</f>
        <v>No</v>
      </c>
    </row>
    <row r="28" spans="2:20" ht="18.95" customHeight="1" x14ac:dyDescent="0.25">
      <c r="B28" s="22" t="s">
        <v>216</v>
      </c>
      <c r="C28" s="22" t="s">
        <v>215</v>
      </c>
      <c r="D28" s="43">
        <v>5.50641707976623E-2</v>
      </c>
      <c r="E28" s="44">
        <v>-8.3864468880754994E-2</v>
      </c>
      <c r="F28" s="44">
        <v>0.1605470596551522</v>
      </c>
      <c r="G28" s="42">
        <v>0.4820581379423402</v>
      </c>
      <c r="H28" s="21" t="str">
        <f t="shared" si="3"/>
        <v>No</v>
      </c>
    </row>
    <row r="29" spans="2:20" ht="18.95" customHeight="1" x14ac:dyDescent="0.25">
      <c r="B29" s="22" t="s">
        <v>217</v>
      </c>
      <c r="C29" s="22" t="s">
        <v>215</v>
      </c>
      <c r="D29" s="43">
        <v>-5.7791128775791032</v>
      </c>
      <c r="E29" s="44">
        <v>-7.0878766512911762</v>
      </c>
      <c r="F29" s="44">
        <v>-2.3531551394277059</v>
      </c>
      <c r="G29" s="42">
        <v>1.1249332748216551E-9</v>
      </c>
      <c r="H29" s="21" t="str">
        <f t="shared" si="3"/>
        <v>Sí</v>
      </c>
    </row>
    <row r="30" spans="2:20" ht="18.95" customHeight="1" x14ac:dyDescent="0.25">
      <c r="B30" s="22" t="s">
        <v>218</v>
      </c>
      <c r="C30" s="22" t="s">
        <v>215</v>
      </c>
      <c r="D30" s="43">
        <v>1.306626714669969</v>
      </c>
      <c r="E30" s="44">
        <v>-1.9591467289713771</v>
      </c>
      <c r="F30" s="44">
        <v>5.1289540771671414</v>
      </c>
      <c r="G30" s="42">
        <v>0.48735966204311842</v>
      </c>
      <c r="H30" s="21" t="str">
        <f t="shared" si="3"/>
        <v>No</v>
      </c>
    </row>
    <row r="31" spans="2:20" ht="18.95" customHeight="1" x14ac:dyDescent="0.25">
      <c r="B31" s="22" t="s">
        <v>219</v>
      </c>
      <c r="C31" s="22" t="s">
        <v>220</v>
      </c>
      <c r="D31" s="43">
        <v>-0.9814924809655684</v>
      </c>
      <c r="E31" s="44">
        <v>-6.9726833041639082</v>
      </c>
      <c r="F31" s="44">
        <v>1.381197087481508</v>
      </c>
      <c r="G31" s="42">
        <v>0.4631339053443746</v>
      </c>
      <c r="H31" s="21" t="str">
        <f t="shared" si="3"/>
        <v>No</v>
      </c>
    </row>
    <row r="32" spans="2:20" ht="18.95" customHeight="1" x14ac:dyDescent="0.25">
      <c r="B32" s="22" t="s">
        <v>221</v>
      </c>
      <c r="C32" s="22" t="s">
        <v>220</v>
      </c>
      <c r="D32" s="43">
        <v>0.31605952452372271</v>
      </c>
      <c r="E32" s="44">
        <v>-0.10665207951227861</v>
      </c>
      <c r="F32" s="44">
        <v>1.439944019373665</v>
      </c>
      <c r="G32" s="42">
        <v>0.1170692630358878</v>
      </c>
      <c r="H32" s="21" t="str">
        <f t="shared" si="3"/>
        <v>No</v>
      </c>
    </row>
    <row r="33" spans="2:8" ht="18.95" customHeight="1" x14ac:dyDescent="0.25">
      <c r="B33" s="22" t="s">
        <v>222</v>
      </c>
      <c r="C33" s="22" t="s">
        <v>220</v>
      </c>
      <c r="D33" s="43">
        <v>0.505487843232863</v>
      </c>
      <c r="E33" s="44">
        <v>-1.3735298357819701</v>
      </c>
      <c r="F33" s="44">
        <v>3.0331303197581732</v>
      </c>
      <c r="G33" s="42">
        <v>0.48501010432536901</v>
      </c>
      <c r="H33" s="21" t="str">
        <f t="shared" si="3"/>
        <v>No</v>
      </c>
    </row>
    <row r="34" spans="2:8" ht="18.95" customHeight="1" x14ac:dyDescent="0.25">
      <c r="B34" s="22" t="s">
        <v>223</v>
      </c>
      <c r="C34" s="22" t="s">
        <v>224</v>
      </c>
      <c r="D34" s="43">
        <v>10.150759128939161</v>
      </c>
      <c r="E34" s="44">
        <v>4.0519060400670979</v>
      </c>
      <c r="F34" s="44">
        <v>14.31711404378461</v>
      </c>
      <c r="G34" s="42">
        <v>2.9176026533460001E-4</v>
      </c>
      <c r="H34" s="21" t="str">
        <f t="shared" si="3"/>
        <v>Sí</v>
      </c>
    </row>
    <row r="35" spans="2:8" ht="18.95" customHeight="1" x14ac:dyDescent="0.25">
      <c r="B35" s="22" t="s">
        <v>225</v>
      </c>
      <c r="C35" s="22" t="s">
        <v>224</v>
      </c>
      <c r="D35" s="43">
        <v>0.47073111172229498</v>
      </c>
      <c r="E35" s="44">
        <v>-1.8542461485195121</v>
      </c>
      <c r="F35" s="44">
        <v>3.9548869151699342</v>
      </c>
      <c r="G35" s="42">
        <v>0.73611054691506173</v>
      </c>
      <c r="H35" s="21" t="str">
        <f t="shared" si="3"/>
        <v>No</v>
      </c>
    </row>
    <row r="36" spans="2:8" ht="18.95" customHeight="1" x14ac:dyDescent="0.25">
      <c r="B36" s="22" t="s">
        <v>226</v>
      </c>
      <c r="C36" s="22" t="s">
        <v>224</v>
      </c>
      <c r="D36" s="43">
        <v>-13.05213332185023</v>
      </c>
      <c r="E36" s="44">
        <v>-17.583371664308839</v>
      </c>
      <c r="F36" s="44">
        <v>-8.8508509966876741</v>
      </c>
      <c r="G36" s="42">
        <v>7.6864093112063343E-10</v>
      </c>
      <c r="H36" s="21" t="str">
        <f t="shared" si="3"/>
        <v>Sí</v>
      </c>
    </row>
    <row r="37" spans="2:8" ht="18.95" customHeight="1" x14ac:dyDescent="0.25">
      <c r="B37" s="22" t="s">
        <v>227</v>
      </c>
      <c r="C37" s="22" t="s">
        <v>224</v>
      </c>
      <c r="D37" s="43">
        <v>-0.63741773773009991</v>
      </c>
      <c r="E37" s="44">
        <v>-3.9664502271209781</v>
      </c>
      <c r="F37" s="44">
        <v>3.060985087838175</v>
      </c>
      <c r="G37" s="42">
        <v>0.72945721079905912</v>
      </c>
      <c r="H37" s="21" t="str">
        <f t="shared" si="3"/>
        <v>No</v>
      </c>
    </row>
    <row r="38" spans="2:8" ht="18.95" customHeight="1" x14ac:dyDescent="0.25">
      <c r="B38" s="22" t="s">
        <v>228</v>
      </c>
      <c r="C38" s="22" t="s">
        <v>224</v>
      </c>
      <c r="D38" s="43">
        <v>11.71174502335024</v>
      </c>
      <c r="E38" s="44">
        <v>5.1667908394162074</v>
      </c>
      <c r="F38" s="44">
        <v>18.76642907986362</v>
      </c>
      <c r="G38" s="42">
        <v>5.3015566536089998E-4</v>
      </c>
      <c r="H38" s="21" t="str">
        <f t="shared" si="3"/>
        <v>Sí</v>
      </c>
    </row>
    <row r="39" spans="2:8" ht="18.95" customHeight="1" x14ac:dyDescent="0.25">
      <c r="B39" s="22" t="s">
        <v>231</v>
      </c>
      <c r="C39" s="22" t="s">
        <v>232</v>
      </c>
      <c r="D39" s="43">
        <v>15.70745347650818</v>
      </c>
      <c r="E39" s="44">
        <v>9.8119114975665234</v>
      </c>
      <c r="F39" s="44">
        <v>20.054124656844358</v>
      </c>
      <c r="G39" s="42">
        <v>2.332415176798058E-9</v>
      </c>
      <c r="H39" s="21" t="str">
        <f t="shared" si="3"/>
        <v>Sí</v>
      </c>
    </row>
    <row r="40" spans="2:8" ht="18.95" customHeight="1" x14ac:dyDescent="0.25">
      <c r="B40" s="22" t="s">
        <v>233</v>
      </c>
      <c r="C40" s="22" t="s">
        <v>232</v>
      </c>
      <c r="D40" s="43">
        <v>34.958312471082372</v>
      </c>
      <c r="E40" s="44">
        <v>30.37667001598496</v>
      </c>
      <c r="F40" s="44">
        <v>39.930056322498977</v>
      </c>
      <c r="G40" s="42">
        <v>2.4087862372155031E-44</v>
      </c>
      <c r="H40" s="21" t="str">
        <f t="shared" si="3"/>
        <v>Sí</v>
      </c>
    </row>
    <row r="42" spans="2:8" ht="24" customHeight="1" x14ac:dyDescent="0.3">
      <c r="B42" s="31" t="s">
        <v>234</v>
      </c>
    </row>
    <row r="43" spans="2:8" ht="20.25" customHeight="1" x14ac:dyDescent="0.25">
      <c r="B43" s="84" t="s">
        <v>235</v>
      </c>
      <c r="C43" s="83"/>
      <c r="D43" s="83"/>
      <c r="E43" s="83"/>
      <c r="F43" s="83"/>
      <c r="G43" s="83"/>
      <c r="H43" s="83"/>
    </row>
    <row r="44" spans="2:8" ht="33.950000000000003" customHeight="1" x14ac:dyDescent="0.25">
      <c r="B44" s="20" t="s">
        <v>210</v>
      </c>
      <c r="C44" s="20" t="s">
        <v>211</v>
      </c>
      <c r="D44" s="20" t="s">
        <v>212</v>
      </c>
      <c r="E44" s="20" t="s">
        <v>178</v>
      </c>
      <c r="F44" s="20" t="s">
        <v>179</v>
      </c>
      <c r="G44" s="20" t="s">
        <v>193</v>
      </c>
      <c r="H44" s="20" t="s">
        <v>213</v>
      </c>
    </row>
    <row r="45" spans="2:8" ht="18.95" customHeight="1" x14ac:dyDescent="0.25">
      <c r="B45" s="22" t="s">
        <v>214</v>
      </c>
      <c r="C45" s="22" t="s">
        <v>215</v>
      </c>
      <c r="D45" s="43">
        <v>3.409179056076526</v>
      </c>
      <c r="E45" s="44">
        <v>0.18817207701055311</v>
      </c>
      <c r="F45" s="44">
        <v>5.4307574504661273</v>
      </c>
      <c r="G45" s="42">
        <v>3.8648877298243602E-2</v>
      </c>
      <c r="H45" s="21" t="str">
        <f t="shared" ref="H45:H56" si="4">IF(OR(E45&gt;0,F45&lt;0),"Sí","No")</f>
        <v>Sí</v>
      </c>
    </row>
    <row r="46" spans="2:8" ht="18.95" customHeight="1" x14ac:dyDescent="0.25">
      <c r="B46" s="22" t="s">
        <v>216</v>
      </c>
      <c r="C46" s="22" t="s">
        <v>215</v>
      </c>
      <c r="D46" s="43">
        <v>0.104929139242267</v>
      </c>
      <c r="E46" s="44">
        <v>9.51364884227E-4</v>
      </c>
      <c r="F46" s="44">
        <v>0.1980435333056059</v>
      </c>
      <c r="G46" s="42">
        <v>5.0688673014677797E-2</v>
      </c>
      <c r="H46" s="21" t="str">
        <f t="shared" si="4"/>
        <v>Sí</v>
      </c>
    </row>
    <row r="47" spans="2:8" ht="18.95" customHeight="1" x14ac:dyDescent="0.25">
      <c r="B47" s="22" t="s">
        <v>217</v>
      </c>
      <c r="C47" s="22" t="s">
        <v>215</v>
      </c>
      <c r="D47" s="43">
        <v>1.455732240490484</v>
      </c>
      <c r="E47" s="44">
        <v>-2.1792545360710411</v>
      </c>
      <c r="F47" s="44">
        <v>4.379442606661847</v>
      </c>
      <c r="G47" s="42">
        <v>0.35297403354017642</v>
      </c>
      <c r="H47" s="21" t="str">
        <f t="shared" si="4"/>
        <v>No</v>
      </c>
    </row>
    <row r="48" spans="2:8" ht="18.95" customHeight="1" x14ac:dyDescent="0.25">
      <c r="B48" s="22" t="s">
        <v>218</v>
      </c>
      <c r="C48" s="22" t="s">
        <v>215</v>
      </c>
      <c r="D48" s="43">
        <v>4.4223471695821868</v>
      </c>
      <c r="E48" s="44">
        <v>-1.1501597476810741</v>
      </c>
      <c r="F48" s="44">
        <v>9.4987825831472499</v>
      </c>
      <c r="G48" s="42">
        <v>0.1242283920172904</v>
      </c>
      <c r="H48" s="21" t="str">
        <f t="shared" si="4"/>
        <v>No</v>
      </c>
    </row>
    <row r="49" spans="2:8" ht="18.95" customHeight="1" x14ac:dyDescent="0.25">
      <c r="B49" s="22" t="s">
        <v>219</v>
      </c>
      <c r="C49" s="22" t="s">
        <v>220</v>
      </c>
      <c r="D49" s="43">
        <v>0.38608283181819208</v>
      </c>
      <c r="E49" s="44">
        <v>-1.9845853369005451</v>
      </c>
      <c r="F49" s="44">
        <v>4.0875277638644372</v>
      </c>
      <c r="G49" s="42">
        <v>0.78677844565241006</v>
      </c>
      <c r="H49" s="21" t="str">
        <f t="shared" si="4"/>
        <v>No</v>
      </c>
    </row>
    <row r="50" spans="2:8" ht="18.95" customHeight="1" x14ac:dyDescent="0.25">
      <c r="B50" s="22" t="s">
        <v>221</v>
      </c>
      <c r="C50" s="22" t="s">
        <v>220</v>
      </c>
      <c r="D50" s="43">
        <v>-0.5427502597611743</v>
      </c>
      <c r="E50" s="44">
        <v>-1.205528912732041</v>
      </c>
      <c r="F50" s="44">
        <v>0.3145152893299229</v>
      </c>
      <c r="G50" s="42">
        <v>1.3534887610739999E-2</v>
      </c>
      <c r="H50" s="21" t="str">
        <f t="shared" si="4"/>
        <v>No</v>
      </c>
    </row>
    <row r="51" spans="2:8" ht="18.95" customHeight="1" x14ac:dyDescent="0.25">
      <c r="B51" s="22" t="s">
        <v>222</v>
      </c>
      <c r="C51" s="22" t="s">
        <v>220</v>
      </c>
      <c r="D51" s="43">
        <v>-0.34876224091958469</v>
      </c>
      <c r="E51" s="44">
        <v>-2.9415371509045021</v>
      </c>
      <c r="F51" s="44">
        <v>1.034756806464578</v>
      </c>
      <c r="G51" s="42">
        <v>0.62399456774360851</v>
      </c>
      <c r="H51" s="21" t="str">
        <f t="shared" si="4"/>
        <v>No</v>
      </c>
    </row>
    <row r="52" spans="2:8" ht="18.95" customHeight="1" x14ac:dyDescent="0.25">
      <c r="B52" s="22" t="s">
        <v>223</v>
      </c>
      <c r="C52" s="22" t="s">
        <v>224</v>
      </c>
      <c r="D52" s="43">
        <v>0.3712676280070118</v>
      </c>
      <c r="E52" s="44">
        <v>-3.697381434751855</v>
      </c>
      <c r="F52" s="44">
        <v>4.2382122267000133</v>
      </c>
      <c r="G52" s="42">
        <v>0.86475351950705415</v>
      </c>
      <c r="H52" s="21" t="str">
        <f t="shared" si="4"/>
        <v>No</v>
      </c>
    </row>
    <row r="53" spans="2:8" ht="18.95" customHeight="1" x14ac:dyDescent="0.25">
      <c r="B53" s="22" t="s">
        <v>225</v>
      </c>
      <c r="C53" s="22" t="s">
        <v>224</v>
      </c>
      <c r="D53" s="43">
        <v>3.8506206188505412</v>
      </c>
      <c r="E53" s="44">
        <v>-2.0083586378448159</v>
      </c>
      <c r="F53" s="44">
        <v>9.0574749975184705</v>
      </c>
      <c r="G53" s="42">
        <v>0.26064406800088369</v>
      </c>
      <c r="H53" s="21" t="str">
        <f t="shared" si="4"/>
        <v>No</v>
      </c>
    </row>
    <row r="54" spans="2:8" ht="18.95" customHeight="1" x14ac:dyDescent="0.25">
      <c r="B54" s="22" t="s">
        <v>226</v>
      </c>
      <c r="C54" s="22" t="s">
        <v>224</v>
      </c>
      <c r="D54" s="43">
        <v>2.9020601096168628</v>
      </c>
      <c r="E54" s="44">
        <v>-2.2440063670609098</v>
      </c>
      <c r="F54" s="44">
        <v>9.5731147587616512</v>
      </c>
      <c r="G54" s="42">
        <v>0.35546382168727242</v>
      </c>
      <c r="H54" s="21" t="str">
        <f t="shared" si="4"/>
        <v>No</v>
      </c>
    </row>
    <row r="55" spans="2:8" ht="18.95" customHeight="1" x14ac:dyDescent="0.25">
      <c r="B55" s="22" t="s">
        <v>227</v>
      </c>
      <c r="C55" s="22" t="s">
        <v>224</v>
      </c>
      <c r="D55" s="43">
        <v>-3.078403827929256</v>
      </c>
      <c r="E55" s="44">
        <v>-8.0296536941367833</v>
      </c>
      <c r="F55" s="44">
        <v>2.6347303693132882</v>
      </c>
      <c r="G55" s="42">
        <v>0.30723935578336919</v>
      </c>
      <c r="H55" s="21" t="str">
        <f t="shared" si="4"/>
        <v>No</v>
      </c>
    </row>
    <row r="56" spans="2:8" ht="18.95" customHeight="1" x14ac:dyDescent="0.25">
      <c r="B56" s="22" t="s">
        <v>228</v>
      </c>
      <c r="C56" s="22" t="s">
        <v>224</v>
      </c>
      <c r="D56" s="43">
        <v>0.65686613874173283</v>
      </c>
      <c r="E56" s="44">
        <v>-7.2495214833279631</v>
      </c>
      <c r="F56" s="44">
        <v>11.115467160595459</v>
      </c>
      <c r="G56" s="42">
        <v>0.90283869488926916</v>
      </c>
      <c r="H56" s="21" t="str">
        <f t="shared" si="4"/>
        <v>No</v>
      </c>
    </row>
    <row r="58" spans="2:8" ht="24" customHeight="1" x14ac:dyDescent="0.3">
      <c r="B58" s="31" t="s">
        <v>236</v>
      </c>
    </row>
    <row r="59" spans="2:8" ht="20.25" customHeight="1" x14ac:dyDescent="0.25">
      <c r="B59" s="84" t="s">
        <v>237</v>
      </c>
      <c r="C59" s="83"/>
      <c r="D59" s="83"/>
      <c r="E59" s="83"/>
      <c r="F59" s="83"/>
      <c r="G59" s="83"/>
      <c r="H59" s="83"/>
    </row>
    <row r="60" spans="2:8" ht="33.950000000000003" customHeight="1" x14ac:dyDescent="0.25">
      <c r="B60" s="20" t="s">
        <v>210</v>
      </c>
      <c r="C60" s="20" t="s">
        <v>211</v>
      </c>
      <c r="D60" s="20" t="s">
        <v>212</v>
      </c>
      <c r="E60" s="20" t="s">
        <v>178</v>
      </c>
      <c r="F60" s="20" t="s">
        <v>179</v>
      </c>
      <c r="G60" s="20" t="s">
        <v>193</v>
      </c>
      <c r="H60" s="20" t="s">
        <v>213</v>
      </c>
    </row>
    <row r="61" spans="2:8" ht="18.95" customHeight="1" x14ac:dyDescent="0.25">
      <c r="B61" s="22" t="s">
        <v>214</v>
      </c>
      <c r="C61" s="22" t="s">
        <v>215</v>
      </c>
      <c r="D61" s="43">
        <v>3.8632814603939858</v>
      </c>
      <c r="E61" s="44">
        <v>1.9410249068135019</v>
      </c>
      <c r="F61" s="44">
        <v>5.7151181476050734</v>
      </c>
      <c r="G61" s="42">
        <v>4.752440430692E-4</v>
      </c>
      <c r="H61" s="21" t="str">
        <f t="shared" ref="H61:H72" si="5">IF(OR(E61&gt;0,F61&lt;0),"Sí","No")</f>
        <v>Sí</v>
      </c>
    </row>
    <row r="62" spans="2:8" ht="18.95" customHeight="1" x14ac:dyDescent="0.25">
      <c r="B62" s="22" t="s">
        <v>216</v>
      </c>
      <c r="C62" s="22" t="s">
        <v>215</v>
      </c>
      <c r="D62" s="43">
        <v>3.8024159363124602E-2</v>
      </c>
      <c r="E62" s="44">
        <v>-3.4131577917857502E-2</v>
      </c>
      <c r="F62" s="44">
        <v>0.1107252779171186</v>
      </c>
      <c r="G62" s="42">
        <v>0.36543025195611523</v>
      </c>
      <c r="H62" s="21" t="str">
        <f t="shared" si="5"/>
        <v>No</v>
      </c>
    </row>
    <row r="63" spans="2:8" ht="18.95" customHeight="1" x14ac:dyDescent="0.25">
      <c r="B63" s="22" t="s">
        <v>217</v>
      </c>
      <c r="C63" s="22" t="s">
        <v>215</v>
      </c>
      <c r="D63" s="43">
        <v>-0.69003162340262902</v>
      </c>
      <c r="E63" s="44">
        <v>-2.5679209749818699</v>
      </c>
      <c r="F63" s="44">
        <v>1.306483646999933</v>
      </c>
      <c r="G63" s="42">
        <v>0.52639972575597227</v>
      </c>
      <c r="H63" s="21" t="str">
        <f t="shared" si="5"/>
        <v>No</v>
      </c>
    </row>
    <row r="64" spans="2:8" ht="18.95" customHeight="1" x14ac:dyDescent="0.25">
      <c r="B64" s="22" t="s">
        <v>218</v>
      </c>
      <c r="C64" s="22" t="s">
        <v>215</v>
      </c>
      <c r="D64" s="43">
        <v>-2.228854100789575</v>
      </c>
      <c r="E64" s="44">
        <v>-5.1940986685470634</v>
      </c>
      <c r="F64" s="44">
        <v>1.471142118869371</v>
      </c>
      <c r="G64" s="42">
        <v>0.21898191279877011</v>
      </c>
      <c r="H64" s="21" t="str">
        <f t="shared" si="5"/>
        <v>No</v>
      </c>
    </row>
    <row r="65" spans="2:8" ht="18.95" customHeight="1" x14ac:dyDescent="0.25">
      <c r="B65" s="22" t="s">
        <v>219</v>
      </c>
      <c r="C65" s="22" t="s">
        <v>220</v>
      </c>
      <c r="D65" s="43">
        <v>-0.86775179212014697</v>
      </c>
      <c r="E65" s="44">
        <v>-2.9619855915629461</v>
      </c>
      <c r="F65" s="44">
        <v>0.38200719551203371</v>
      </c>
      <c r="G65" s="42">
        <v>0.21244225220518589</v>
      </c>
      <c r="H65" s="21" t="str">
        <f t="shared" si="5"/>
        <v>No</v>
      </c>
    </row>
    <row r="66" spans="2:8" ht="18.95" customHeight="1" x14ac:dyDescent="0.25">
      <c r="B66" s="22" t="s">
        <v>221</v>
      </c>
      <c r="C66" s="22" t="s">
        <v>220</v>
      </c>
      <c r="D66" s="43">
        <v>-3.7188774649519999E-3</v>
      </c>
      <c r="E66" s="44">
        <v>-0.1926286008390927</v>
      </c>
      <c r="F66" s="44">
        <v>0.30315712569359887</v>
      </c>
      <c r="G66" s="42">
        <v>0.96954882920588603</v>
      </c>
      <c r="H66" s="21" t="str">
        <f t="shared" si="5"/>
        <v>No</v>
      </c>
    </row>
    <row r="67" spans="2:8" ht="18.95" customHeight="1" x14ac:dyDescent="0.25">
      <c r="B67" s="22" t="s">
        <v>222</v>
      </c>
      <c r="C67" s="22" t="s">
        <v>220</v>
      </c>
      <c r="D67" s="43">
        <v>0.50503356227431406</v>
      </c>
      <c r="E67" s="44">
        <v>-0.34791984213542471</v>
      </c>
      <c r="F67" s="44">
        <v>1.542233653049804</v>
      </c>
      <c r="G67" s="42">
        <v>0.2151841334904154</v>
      </c>
      <c r="H67" s="21" t="str">
        <f t="shared" si="5"/>
        <v>No</v>
      </c>
    </row>
    <row r="68" spans="2:8" ht="18.95" customHeight="1" x14ac:dyDescent="0.25">
      <c r="B68" s="22" t="s">
        <v>223</v>
      </c>
      <c r="C68" s="22" t="s">
        <v>224</v>
      </c>
      <c r="D68" s="43">
        <v>2.9441098337290188</v>
      </c>
      <c r="E68" s="44">
        <v>-0.90826248883026905</v>
      </c>
      <c r="F68" s="44">
        <v>6.5601897288015696</v>
      </c>
      <c r="G68" s="42">
        <v>0.1852532334544596</v>
      </c>
      <c r="H68" s="21" t="str">
        <f t="shared" si="5"/>
        <v>No</v>
      </c>
    </row>
    <row r="69" spans="2:8" ht="18.95" customHeight="1" x14ac:dyDescent="0.25">
      <c r="B69" s="22" t="s">
        <v>225</v>
      </c>
      <c r="C69" s="22" t="s">
        <v>224</v>
      </c>
      <c r="D69" s="43">
        <v>4.326465724749621</v>
      </c>
      <c r="E69" s="44">
        <v>2.9668123848112429</v>
      </c>
      <c r="F69" s="44">
        <v>6.3469669866601279</v>
      </c>
      <c r="G69" s="42">
        <v>4.7063301600549034E-9</v>
      </c>
      <c r="H69" s="21" t="str">
        <f t="shared" si="5"/>
        <v>Sí</v>
      </c>
    </row>
    <row r="70" spans="2:8" ht="18.95" customHeight="1" x14ac:dyDescent="0.25">
      <c r="B70" s="22" t="s">
        <v>226</v>
      </c>
      <c r="C70" s="22" t="s">
        <v>224</v>
      </c>
      <c r="D70" s="43">
        <v>1.0960096259243881</v>
      </c>
      <c r="E70" s="44">
        <v>-1.0052418146667741</v>
      </c>
      <c r="F70" s="44">
        <v>2.9148768214716738</v>
      </c>
      <c r="G70" s="42">
        <v>0.25443848289091142</v>
      </c>
      <c r="H70" s="21" t="str">
        <f t="shared" si="5"/>
        <v>No</v>
      </c>
    </row>
    <row r="71" spans="2:8" ht="18.95" customHeight="1" x14ac:dyDescent="0.25">
      <c r="B71" s="22" t="s">
        <v>227</v>
      </c>
      <c r="C71" s="22" t="s">
        <v>224</v>
      </c>
      <c r="D71" s="43">
        <v>1.3232875458080191</v>
      </c>
      <c r="E71" s="44">
        <v>-1.612984295849047</v>
      </c>
      <c r="F71" s="44">
        <v>4.4677289807483591</v>
      </c>
      <c r="G71" s="42">
        <v>0.44388078476313159</v>
      </c>
      <c r="H71" s="21" t="str">
        <f t="shared" si="5"/>
        <v>No</v>
      </c>
    </row>
    <row r="72" spans="2:8" ht="18.95" customHeight="1" x14ac:dyDescent="0.25">
      <c r="B72" s="22" t="s">
        <v>228</v>
      </c>
      <c r="C72" s="22" t="s">
        <v>224</v>
      </c>
      <c r="D72" s="43">
        <v>1.0387069145284</v>
      </c>
      <c r="E72" s="44">
        <v>-2.797067008774127</v>
      </c>
      <c r="F72" s="44">
        <v>4.3803449075660099</v>
      </c>
      <c r="G72" s="42">
        <v>0.65349222853982825</v>
      </c>
      <c r="H72" s="21" t="str">
        <f t="shared" si="5"/>
        <v>No</v>
      </c>
    </row>
    <row r="74" spans="2:8" ht="24" customHeight="1" x14ac:dyDescent="0.3">
      <c r="B74" s="31" t="s">
        <v>238</v>
      </c>
    </row>
    <row r="75" spans="2:8" ht="32.450000000000003" customHeight="1" x14ac:dyDescent="0.25">
      <c r="B75" s="84" t="s">
        <v>239</v>
      </c>
      <c r="C75" s="83"/>
      <c r="D75" s="83"/>
      <c r="E75" s="83"/>
      <c r="F75" s="83"/>
      <c r="G75" s="83"/>
      <c r="H75" s="83"/>
    </row>
    <row r="76" spans="2:8" ht="33.950000000000003" customHeight="1" x14ac:dyDescent="0.25">
      <c r="B76" s="20" t="s">
        <v>210</v>
      </c>
      <c r="C76" s="20" t="s">
        <v>211</v>
      </c>
      <c r="D76" s="20" t="s">
        <v>212</v>
      </c>
      <c r="E76" s="20" t="s">
        <v>178</v>
      </c>
      <c r="F76" s="20" t="s">
        <v>179</v>
      </c>
      <c r="G76" s="20" t="s">
        <v>193</v>
      </c>
      <c r="H76" s="20" t="s">
        <v>213</v>
      </c>
    </row>
    <row r="77" spans="2:8" ht="18.95" customHeight="1" x14ac:dyDescent="0.25">
      <c r="B77" s="22" t="s">
        <v>214</v>
      </c>
      <c r="C77" s="22" t="s">
        <v>215</v>
      </c>
      <c r="D77" s="43">
        <v>-0.82914644330195753</v>
      </c>
      <c r="E77" s="44">
        <v>-4.5212280241194982</v>
      </c>
      <c r="F77" s="44">
        <v>3.3040889197054879</v>
      </c>
      <c r="G77" s="42">
        <v>0.69487554207535296</v>
      </c>
      <c r="H77" s="21" t="str">
        <f t="shared" ref="H77:H85" si="6">IF(OR(E77&gt;0,F77&lt;0),"Sí","No")</f>
        <v>No</v>
      </c>
    </row>
    <row r="78" spans="2:8" ht="18.95" customHeight="1" x14ac:dyDescent="0.25">
      <c r="B78" s="22" t="s">
        <v>216</v>
      </c>
      <c r="C78" s="22" t="s">
        <v>215</v>
      </c>
      <c r="D78" s="43">
        <v>3.1480352320405101E-2</v>
      </c>
      <c r="E78" s="44">
        <v>-0.13967572036327239</v>
      </c>
      <c r="F78" s="44">
        <v>0.15610586556921111</v>
      </c>
      <c r="G78" s="42">
        <v>0.75431249062596228</v>
      </c>
      <c r="H78" s="21" t="str">
        <f t="shared" si="6"/>
        <v>No</v>
      </c>
    </row>
    <row r="79" spans="2:8" ht="18.95" customHeight="1" x14ac:dyDescent="0.25">
      <c r="B79" s="22" t="s">
        <v>217</v>
      </c>
      <c r="C79" s="22" t="s">
        <v>215</v>
      </c>
      <c r="D79" s="43">
        <v>-4.2464178462378817</v>
      </c>
      <c r="E79" s="44">
        <v>-8.2508500707842867</v>
      </c>
      <c r="F79" s="44">
        <v>-0.46354387819541598</v>
      </c>
      <c r="G79" s="42">
        <v>4.6591981763681699E-2</v>
      </c>
      <c r="H79" s="21" t="str">
        <f t="shared" si="6"/>
        <v>Sí</v>
      </c>
    </row>
    <row r="80" spans="2:8" ht="18.95" customHeight="1" x14ac:dyDescent="0.25">
      <c r="B80" s="22" t="s">
        <v>218</v>
      </c>
      <c r="C80" s="22" t="s">
        <v>215</v>
      </c>
      <c r="D80" s="43">
        <v>2.713991432127282</v>
      </c>
      <c r="E80" s="44">
        <v>-1.973909914266472</v>
      </c>
      <c r="F80" s="44">
        <v>6.7611734874713907</v>
      </c>
      <c r="G80" s="42">
        <v>0.32942585237715288</v>
      </c>
      <c r="H80" s="21" t="str">
        <f t="shared" si="6"/>
        <v>No</v>
      </c>
    </row>
    <row r="81" spans="2:10" ht="18.95" customHeight="1" x14ac:dyDescent="0.25">
      <c r="B81" s="22" t="s">
        <v>223</v>
      </c>
      <c r="C81" s="22" t="s">
        <v>224</v>
      </c>
      <c r="D81" s="43">
        <v>12.33332886927586</v>
      </c>
      <c r="E81" s="44">
        <v>5.9140239638012932</v>
      </c>
      <c r="F81" s="44">
        <v>15.863143689074549</v>
      </c>
      <c r="G81" s="42">
        <v>3.060956394564187E-6</v>
      </c>
      <c r="H81" s="21" t="str">
        <f t="shared" si="6"/>
        <v>Sí</v>
      </c>
    </row>
    <row r="82" spans="2:10" ht="18.95" customHeight="1" x14ac:dyDescent="0.25">
      <c r="B82" s="22" t="s">
        <v>225</v>
      </c>
      <c r="C82" s="22" t="s">
        <v>224</v>
      </c>
      <c r="D82" s="43">
        <v>-2.8017534476651171</v>
      </c>
      <c r="E82" s="44">
        <v>-7.7575140015030124</v>
      </c>
      <c r="F82" s="44">
        <v>4.4446277136642882</v>
      </c>
      <c r="G82" s="42">
        <v>0.33498351900080192</v>
      </c>
      <c r="H82" s="21" t="str">
        <f t="shared" si="6"/>
        <v>No</v>
      </c>
    </row>
    <row r="83" spans="2:10" ht="18.95" customHeight="1" x14ac:dyDescent="0.25">
      <c r="B83" s="22" t="s">
        <v>226</v>
      </c>
      <c r="C83" s="22" t="s">
        <v>224</v>
      </c>
      <c r="D83" s="43">
        <v>-7.0628423604679886</v>
      </c>
      <c r="E83" s="44">
        <v>-11.322474908942279</v>
      </c>
      <c r="F83" s="44">
        <v>-2.9567441505463701</v>
      </c>
      <c r="G83" s="42">
        <v>4.3447711778681003E-3</v>
      </c>
      <c r="H83" s="21" t="str">
        <f t="shared" si="6"/>
        <v>Sí</v>
      </c>
    </row>
    <row r="84" spans="2:10" ht="18.95" customHeight="1" x14ac:dyDescent="0.25">
      <c r="B84" s="22" t="s">
        <v>227</v>
      </c>
      <c r="C84" s="22" t="s">
        <v>224</v>
      </c>
      <c r="D84" s="43">
        <v>3.250441027078304</v>
      </c>
      <c r="E84" s="44">
        <v>-2.1880282996757332</v>
      </c>
      <c r="F84" s="44">
        <v>9.3799352799822806</v>
      </c>
      <c r="G84" s="42">
        <v>0.28871299091074842</v>
      </c>
      <c r="H84" s="21" t="str">
        <f t="shared" si="6"/>
        <v>No</v>
      </c>
    </row>
    <row r="85" spans="2:10" ht="18.95" customHeight="1" x14ac:dyDescent="0.25">
      <c r="B85" s="22" t="s">
        <v>228</v>
      </c>
      <c r="C85" s="22" t="s">
        <v>224</v>
      </c>
      <c r="D85" s="43">
        <v>15.42813920804759</v>
      </c>
      <c r="E85" s="44">
        <v>5.3006708817089718</v>
      </c>
      <c r="F85" s="44">
        <v>24.988865358155401</v>
      </c>
      <c r="G85" s="42">
        <v>1.22815013980342E-2</v>
      </c>
      <c r="H85" s="21" t="str">
        <f t="shared" si="6"/>
        <v>Sí</v>
      </c>
    </row>
    <row r="87" spans="2:10" ht="24" customHeight="1" x14ac:dyDescent="0.3">
      <c r="B87" s="31" t="s">
        <v>240</v>
      </c>
    </row>
    <row r="88" spans="2:10" ht="32.450000000000003" customHeight="1" x14ac:dyDescent="0.25">
      <c r="B88" s="84" t="s">
        <v>241</v>
      </c>
      <c r="C88" s="83"/>
      <c r="D88" s="83"/>
      <c r="E88" s="83"/>
      <c r="F88" s="83"/>
      <c r="G88" s="83"/>
      <c r="H88" s="83"/>
    </row>
    <row r="89" spans="2:10" ht="33.950000000000003" customHeight="1" x14ac:dyDescent="0.25">
      <c r="B89" s="20" t="s">
        <v>210</v>
      </c>
      <c r="C89" s="20" t="s">
        <v>211</v>
      </c>
      <c r="D89" s="20" t="s">
        <v>242</v>
      </c>
      <c r="E89" s="20" t="s">
        <v>243</v>
      </c>
      <c r="F89" s="20" t="s">
        <v>244</v>
      </c>
      <c r="G89" s="20" t="s">
        <v>245</v>
      </c>
    </row>
    <row r="90" spans="2:10" ht="18.95" customHeight="1" x14ac:dyDescent="0.25">
      <c r="B90" s="22" t="s">
        <v>219</v>
      </c>
      <c r="C90" s="22" t="s">
        <v>220</v>
      </c>
      <c r="D90" s="44">
        <v>-0.12693873106287509</v>
      </c>
      <c r="E90" s="42">
        <v>0.91310197948859639</v>
      </c>
      <c r="F90" s="42">
        <v>0.91891891891891897</v>
      </c>
      <c r="G90" s="21" t="str">
        <f>IF(F90&lt;0.05,"Sí","No")</f>
        <v>No</v>
      </c>
    </row>
    <row r="91" spans="2:10" ht="18.95" customHeight="1" x14ac:dyDescent="0.25">
      <c r="B91" s="22" t="s">
        <v>221</v>
      </c>
      <c r="C91" s="22" t="s">
        <v>220</v>
      </c>
      <c r="D91" s="44">
        <v>0.47221026245675668</v>
      </c>
      <c r="E91" s="42">
        <v>5.3747971523485996E-3</v>
      </c>
      <c r="F91" s="42">
        <v>3.3033033033033003E-2</v>
      </c>
      <c r="G91" s="21" t="str">
        <f>IF(F91&lt;0.05,"Sí","No")</f>
        <v>Sí</v>
      </c>
    </row>
    <row r="92" spans="2:10" ht="18.95" customHeight="1" x14ac:dyDescent="0.25">
      <c r="B92" s="22" t="s">
        <v>222</v>
      </c>
      <c r="C92" s="22" t="s">
        <v>220</v>
      </c>
      <c r="D92" s="44">
        <v>-0.36726030146356048</v>
      </c>
      <c r="E92" s="42">
        <v>0.52463687566165351</v>
      </c>
      <c r="F92" s="42">
        <v>0.54254254254254253</v>
      </c>
      <c r="G92" s="21" t="str">
        <f>IF(F92&lt;0.05,"Sí","No")</f>
        <v>No</v>
      </c>
    </row>
    <row r="93" spans="2:10" ht="18.95" customHeight="1" x14ac:dyDescent="0.25">
      <c r="B93" s="22" t="s">
        <v>223</v>
      </c>
      <c r="C93" s="22" t="s">
        <v>224</v>
      </c>
      <c r="D93" s="44">
        <v>13.29019625269507</v>
      </c>
      <c r="E93" s="42">
        <v>4.9105241888840287E-6</v>
      </c>
      <c r="F93" s="42">
        <v>0</v>
      </c>
      <c r="G93" s="21" t="str">
        <f>IF(F93&lt;0.05,"Sí","No")</f>
        <v>Sí</v>
      </c>
    </row>
    <row r="94" spans="2:10" ht="18.95" customHeight="1" x14ac:dyDescent="0.25">
      <c r="B94" s="22" t="s">
        <v>228</v>
      </c>
      <c r="C94" s="22" t="s">
        <v>224</v>
      </c>
      <c r="D94" s="44">
        <v>15.044018037333471</v>
      </c>
      <c r="E94" s="42">
        <v>6.6828789781971003E-3</v>
      </c>
      <c r="F94" s="42">
        <v>4.6046046046046001E-2</v>
      </c>
      <c r="G94" s="21" t="str">
        <f>IF(F94&lt;0.05,"Sí","No")</f>
        <v>Sí</v>
      </c>
    </row>
    <row r="96" spans="2:10" ht="24" customHeight="1" x14ac:dyDescent="0.3">
      <c r="B96" s="31" t="s">
        <v>246</v>
      </c>
      <c r="J96" s="31" t="s">
        <v>247</v>
      </c>
    </row>
    <row r="97" spans="2:17" ht="32.450000000000003" customHeight="1" x14ac:dyDescent="0.25">
      <c r="B97" s="84" t="s">
        <v>248</v>
      </c>
      <c r="C97" s="83"/>
      <c r="D97" s="83"/>
      <c r="E97" s="83"/>
      <c r="F97" s="83"/>
      <c r="G97" s="83"/>
      <c r="H97" s="83"/>
    </row>
    <row r="98" spans="2:17" ht="33.950000000000003" customHeight="1" x14ac:dyDescent="0.25">
      <c r="B98" s="20" t="s">
        <v>249</v>
      </c>
      <c r="C98" s="20" t="s">
        <v>250</v>
      </c>
      <c r="D98" s="20" t="s">
        <v>251</v>
      </c>
      <c r="E98" s="20" t="s">
        <v>252</v>
      </c>
      <c r="F98" s="20" t="s">
        <v>253</v>
      </c>
    </row>
    <row r="99" spans="2:17" ht="20.100000000000001" customHeight="1" x14ac:dyDescent="0.25">
      <c r="B99" s="22" t="s">
        <v>254</v>
      </c>
      <c r="C99" s="45" t="s">
        <v>255</v>
      </c>
      <c r="D99" s="46">
        <v>0.60857857206665189</v>
      </c>
      <c r="E99" s="42">
        <v>2.2877587856057299E-2</v>
      </c>
      <c r="F99" s="21">
        <v>25</v>
      </c>
    </row>
    <row r="100" spans="2:17" ht="31.15" customHeight="1" x14ac:dyDescent="0.25">
      <c r="B100" s="22" t="s">
        <v>256</v>
      </c>
      <c r="C100" s="45" t="s">
        <v>257</v>
      </c>
      <c r="D100" s="46">
        <v>0.61132599309468094</v>
      </c>
      <c r="E100" s="42">
        <v>2.0660159963311501E-2</v>
      </c>
      <c r="F100" s="21">
        <v>25</v>
      </c>
    </row>
    <row r="101" spans="2:17" ht="31.15" customHeight="1" x14ac:dyDescent="0.25">
      <c r="B101" s="22" t="s">
        <v>258</v>
      </c>
      <c r="C101" s="45" t="s">
        <v>259</v>
      </c>
      <c r="D101" s="46">
        <v>0.65462771238238304</v>
      </c>
      <c r="E101" s="42">
        <v>2.3635899404105602E-2</v>
      </c>
      <c r="F101" s="21">
        <v>25</v>
      </c>
    </row>
    <row r="102" spans="2:17" ht="42.75" customHeight="1" x14ac:dyDescent="0.25">
      <c r="B102" s="22" t="s">
        <v>260</v>
      </c>
      <c r="C102" s="45" t="s">
        <v>261</v>
      </c>
      <c r="D102" s="46">
        <v>0.65644797939783128</v>
      </c>
      <c r="E102" s="42">
        <v>2.2964694190029802E-2</v>
      </c>
      <c r="F102" s="21">
        <v>25</v>
      </c>
    </row>
    <row r="103" spans="2:17" ht="31.15" customHeight="1" x14ac:dyDescent="0.25">
      <c r="B103" s="22" t="s">
        <v>262</v>
      </c>
      <c r="C103" s="45" t="s">
        <v>263</v>
      </c>
      <c r="D103" s="46">
        <v>0.75482084489177625</v>
      </c>
      <c r="E103" s="42">
        <v>1.62829766259589E-2</v>
      </c>
      <c r="F103" s="21">
        <v>25</v>
      </c>
    </row>
    <row r="104" spans="2:17" ht="54.2" customHeight="1" x14ac:dyDescent="0.25">
      <c r="B104" s="22" t="s">
        <v>264</v>
      </c>
      <c r="C104" s="45" t="s">
        <v>265</v>
      </c>
      <c r="D104" s="46">
        <v>0.78249761812761076</v>
      </c>
      <c r="E104" s="42">
        <v>1.73959530052618E-2</v>
      </c>
      <c r="F104" s="21">
        <v>25</v>
      </c>
    </row>
    <row r="106" spans="2:17" ht="19.7" customHeight="1" x14ac:dyDescent="0.25">
      <c r="B106" s="129" t="s">
        <v>266</v>
      </c>
      <c r="C106" s="83"/>
      <c r="D106" s="83"/>
      <c r="E106" s="83"/>
      <c r="F106" s="83"/>
      <c r="G106" s="83"/>
      <c r="H106" s="83"/>
      <c r="I106" s="83"/>
      <c r="J106" s="83"/>
      <c r="K106" s="83"/>
      <c r="L106" s="83"/>
      <c r="M106" s="83"/>
      <c r="N106" s="83"/>
      <c r="O106" s="83"/>
      <c r="P106" s="83"/>
      <c r="Q106" s="83"/>
    </row>
  </sheetData>
  <mergeCells count="10">
    <mergeCell ref="B106:Q106"/>
    <mergeCell ref="B1:P1"/>
    <mergeCell ref="B6:Q6"/>
    <mergeCell ref="B25:H25"/>
    <mergeCell ref="B59:H59"/>
    <mergeCell ref="B9:H9"/>
    <mergeCell ref="B88:H88"/>
    <mergeCell ref="B97:H97"/>
    <mergeCell ref="B43:H43"/>
    <mergeCell ref="B75:H75"/>
  </mergeCells>
  <conditionalFormatting sqref="B90:G94">
    <cfRule type="expression" dxfId="10" priority="6">
      <formula>$F90&gt;=0.05</formula>
    </cfRule>
  </conditionalFormatting>
  <conditionalFormatting sqref="B11:H22">
    <cfRule type="expression" dxfId="9" priority="1">
      <formula>AND($E11&lt;0,$F11&gt;0)</formula>
    </cfRule>
  </conditionalFormatting>
  <conditionalFormatting sqref="B27:H40">
    <cfRule type="expression" dxfId="8" priority="2">
      <formula>AND($E27&lt;0,$F27&gt;0)</formula>
    </cfRule>
  </conditionalFormatting>
  <conditionalFormatting sqref="B45:H56">
    <cfRule type="expression" dxfId="7" priority="3">
      <formula>AND($E45&lt;0,$F45&gt;0)</formula>
    </cfRule>
  </conditionalFormatting>
  <conditionalFormatting sqref="B61:H72">
    <cfRule type="expression" dxfId="6" priority="4">
      <formula>AND($E61&lt;0,$F61&gt;0)</formula>
    </cfRule>
  </conditionalFormatting>
  <conditionalFormatting sqref="B77:H85">
    <cfRule type="expression" dxfId="5" priority="5">
      <formula>AND($E77&lt;0,$F77&gt;0)</formula>
    </cfRule>
  </conditionalFormatting>
  <hyperlinks>
    <hyperlink ref="Q1" location="'Portada'!A1" display="← Portada" xr:uid="{00000000-0004-0000-05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3" manualBreakCount="3">
    <brk id="41" max="16383" man="1"/>
    <brk id="73" max="16383" man="1"/>
    <brk id="95"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B0F24"/>
    <pageSetUpPr fitToPage="1"/>
  </sheetPr>
  <dimension ref="B1:M76"/>
  <sheetViews>
    <sheetView showGridLines="0" zoomScale="90" workbookViewId="0"/>
  </sheetViews>
  <sheetFormatPr baseColWidth="10" defaultColWidth="9.140625" defaultRowHeight="15" x14ac:dyDescent="0.25"/>
  <cols>
    <col min="1" max="1" width="2.42578125" customWidth="1"/>
    <col min="2" max="2" width="34" customWidth="1"/>
    <col min="3" max="4" width="11" customWidth="1"/>
    <col min="5" max="5" width="12" customWidth="1"/>
    <col min="6" max="6" width="13" customWidth="1"/>
    <col min="7" max="8" width="11" customWidth="1"/>
    <col min="9" max="9" width="9" customWidth="1"/>
    <col min="10" max="10" width="3" customWidth="1"/>
    <col min="11" max="13" width="10" customWidth="1"/>
  </cols>
  <sheetData>
    <row r="1" spans="2:13" ht="20.100000000000001" customHeight="1" x14ac:dyDescent="0.25">
      <c r="B1" s="116" t="s">
        <v>49</v>
      </c>
      <c r="C1" s="83"/>
      <c r="D1" s="83"/>
      <c r="E1" s="83"/>
      <c r="F1" s="83"/>
      <c r="G1" s="83"/>
      <c r="H1" s="83"/>
      <c r="I1" s="83"/>
      <c r="J1" s="83"/>
      <c r="K1" s="83"/>
      <c r="L1" s="83"/>
      <c r="M1" s="14" t="s">
        <v>50</v>
      </c>
    </row>
    <row r="2" spans="2:13" ht="30" customHeight="1" x14ac:dyDescent="0.25">
      <c r="B2" s="15" t="s">
        <v>267</v>
      </c>
    </row>
    <row r="3" spans="2:13" ht="20.100000000000001" customHeight="1" x14ac:dyDescent="0.25">
      <c r="B3" s="16" t="s">
        <v>268</v>
      </c>
    </row>
    <row r="4" spans="2:13" ht="3" customHeight="1" x14ac:dyDescent="0.25">
      <c r="B4" s="2"/>
      <c r="C4" s="2"/>
      <c r="D4" s="2"/>
      <c r="E4" s="2"/>
      <c r="F4" s="2"/>
      <c r="G4" s="2"/>
      <c r="H4" s="2"/>
      <c r="I4" s="2"/>
      <c r="J4" s="2"/>
      <c r="K4" s="2"/>
      <c r="L4" s="2"/>
      <c r="M4" s="2"/>
    </row>
    <row r="5" spans="2:13" ht="9.9499999999999993" customHeight="1" x14ac:dyDescent="0.25"/>
    <row r="6" spans="2:13" ht="24" customHeight="1" x14ac:dyDescent="0.3">
      <c r="B6" s="31" t="s">
        <v>269</v>
      </c>
    </row>
    <row r="7" spans="2:13" ht="32.450000000000003" customHeight="1" x14ac:dyDescent="0.25">
      <c r="B7" s="84" t="s">
        <v>270</v>
      </c>
      <c r="C7" s="83"/>
      <c r="D7" s="83"/>
      <c r="E7" s="83"/>
      <c r="F7" s="83"/>
      <c r="G7" s="83"/>
      <c r="H7" s="83"/>
      <c r="I7" s="83"/>
    </row>
    <row r="8" spans="2:13" ht="39.950000000000003" customHeight="1" x14ac:dyDescent="0.25">
      <c r="B8" s="20" t="s">
        <v>271</v>
      </c>
      <c r="C8" s="20" t="s">
        <v>272</v>
      </c>
      <c r="D8" s="20" t="s">
        <v>273</v>
      </c>
      <c r="E8" s="20" t="s">
        <v>274</v>
      </c>
      <c r="F8" s="20" t="s">
        <v>275</v>
      </c>
      <c r="G8" s="20" t="s">
        <v>178</v>
      </c>
      <c r="H8" s="20" t="s">
        <v>179</v>
      </c>
      <c r="I8" s="20" t="s">
        <v>193</v>
      </c>
      <c r="L8" s="26" t="s">
        <v>153</v>
      </c>
      <c r="M8" s="26" t="s">
        <v>154</v>
      </c>
    </row>
    <row r="9" spans="2:13" ht="18.95" customHeight="1" x14ac:dyDescent="0.25">
      <c r="B9" s="22" t="s">
        <v>276</v>
      </c>
      <c r="C9" s="47">
        <v>0.20599999999999999</v>
      </c>
      <c r="D9" s="48">
        <v>0.28399999999999997</v>
      </c>
      <c r="E9" s="49">
        <f>(C9-D9)*100</f>
        <v>-7.7999999999999989</v>
      </c>
      <c r="F9" s="50" t="s">
        <v>277</v>
      </c>
      <c r="G9" s="49"/>
      <c r="H9" s="49"/>
      <c r="I9" s="42"/>
    </row>
    <row r="10" spans="2:13" ht="18.95" customHeight="1" x14ac:dyDescent="0.25">
      <c r="B10" s="22" t="s">
        <v>278</v>
      </c>
      <c r="C10" s="47">
        <v>0.63500000000000001</v>
      </c>
      <c r="D10" s="48">
        <v>0.57200000000000006</v>
      </c>
      <c r="E10" s="49">
        <f>(C10-D10)*100</f>
        <v>6.2999999999999945</v>
      </c>
      <c r="F10" s="51">
        <v>6.4682899567040124</v>
      </c>
      <c r="G10" s="49">
        <v>0.95961064288384079</v>
      </c>
      <c r="H10" s="49">
        <v>11.504121026766841</v>
      </c>
      <c r="I10" s="42">
        <v>2.4083904437922E-2</v>
      </c>
      <c r="L10" s="30">
        <f>H10-F10</f>
        <v>5.0358310700628284</v>
      </c>
      <c r="M10" s="30">
        <f>F10-G10</f>
        <v>5.5086793138201715</v>
      </c>
    </row>
    <row r="11" spans="2:13" ht="18.95" customHeight="1" x14ac:dyDescent="0.25">
      <c r="B11" s="22" t="s">
        <v>279</v>
      </c>
      <c r="C11" s="47">
        <v>0.71900000000000008</v>
      </c>
      <c r="D11" s="48">
        <v>0.53900000000000003</v>
      </c>
      <c r="E11" s="49">
        <f>(C11-D11)*100</f>
        <v>18.000000000000004</v>
      </c>
      <c r="F11" s="51">
        <v>18.01970515501932</v>
      </c>
      <c r="G11" s="49">
        <v>12.88331657275376</v>
      </c>
      <c r="H11" s="49">
        <v>23.431943838486539</v>
      </c>
      <c r="I11" s="42">
        <v>3.437995372135948E-9</v>
      </c>
      <c r="L11" s="30">
        <f>H11-F11</f>
        <v>5.4122386834672191</v>
      </c>
      <c r="M11" s="30">
        <f>F11-G11</f>
        <v>5.1363885822655604</v>
      </c>
    </row>
    <row r="12" spans="2:13" ht="18.95" customHeight="1" x14ac:dyDescent="0.25">
      <c r="B12" s="22" t="s">
        <v>280</v>
      </c>
      <c r="C12" s="47">
        <v>0.59200000000000008</v>
      </c>
      <c r="D12" s="48">
        <v>0.51800000000000002</v>
      </c>
      <c r="E12" s="49">
        <f>(C12-D12)*100</f>
        <v>7.4000000000000066</v>
      </c>
      <c r="F12" s="51">
        <v>9.2810294480686597</v>
      </c>
      <c r="G12" s="49">
        <v>5.0488639542045908</v>
      </c>
      <c r="H12" s="49">
        <v>13.89178340321004</v>
      </c>
      <c r="I12" s="42">
        <v>1.684289618809E-4</v>
      </c>
      <c r="L12" s="30">
        <f>H12-F12</f>
        <v>4.6107539551413801</v>
      </c>
      <c r="M12" s="30">
        <f>F12-G12</f>
        <v>4.2321654938640689</v>
      </c>
    </row>
    <row r="13" spans="2:13" ht="31.15" customHeight="1" x14ac:dyDescent="0.25">
      <c r="B13" s="129" t="s">
        <v>281</v>
      </c>
      <c r="C13" s="83"/>
      <c r="D13" s="83"/>
      <c r="E13" s="83"/>
      <c r="F13" s="83"/>
      <c r="G13" s="83"/>
      <c r="H13" s="83"/>
      <c r="I13" s="83"/>
    </row>
    <row r="15" spans="2:13" ht="24" customHeight="1" x14ac:dyDescent="0.3">
      <c r="B15" s="31" t="s">
        <v>282</v>
      </c>
      <c r="F15" s="31" t="s">
        <v>283</v>
      </c>
    </row>
    <row r="34" spans="2:9" ht="24" customHeight="1" x14ac:dyDescent="0.3">
      <c r="B34" s="31" t="s">
        <v>284</v>
      </c>
    </row>
    <row r="35" spans="2:9" ht="20.25" customHeight="1" x14ac:dyDescent="0.25">
      <c r="B35" s="84" t="s">
        <v>285</v>
      </c>
      <c r="C35" s="83"/>
      <c r="D35" s="83"/>
      <c r="E35" s="83"/>
      <c r="F35" s="83"/>
      <c r="G35" s="83"/>
      <c r="H35" s="83"/>
      <c r="I35" s="83"/>
    </row>
    <row r="36" spans="2:9" ht="60" customHeight="1" x14ac:dyDescent="0.25">
      <c r="B36" s="20" t="s">
        <v>83</v>
      </c>
      <c r="C36" s="20" t="s">
        <v>286</v>
      </c>
      <c r="D36" s="20" t="s">
        <v>287</v>
      </c>
      <c r="E36" s="20" t="s">
        <v>274</v>
      </c>
      <c r="F36" s="20" t="s">
        <v>288</v>
      </c>
      <c r="G36" s="20" t="s">
        <v>289</v>
      </c>
      <c r="H36" s="20" t="s">
        <v>274</v>
      </c>
    </row>
    <row r="37" spans="2:9" ht="18.95" customHeight="1" x14ac:dyDescent="0.25">
      <c r="B37" s="22" t="s">
        <v>123</v>
      </c>
      <c r="C37" s="52">
        <v>0.62384643687615327</v>
      </c>
      <c r="D37" s="53">
        <v>0.48365453069822079</v>
      </c>
      <c r="E37" s="49">
        <f t="shared" ref="E37:E55" si="0">(C37-D37)*100</f>
        <v>14.019190617793248</v>
      </c>
      <c r="F37" s="52">
        <v>0.1039168493264733</v>
      </c>
      <c r="G37" s="53">
        <v>6.5564196319935639E-2</v>
      </c>
      <c r="H37" s="49">
        <f t="shared" ref="H37:H55" si="1">(F37-G37)*100</f>
        <v>3.835265300653766</v>
      </c>
    </row>
    <row r="38" spans="2:9" ht="18.95" customHeight="1" x14ac:dyDescent="0.25">
      <c r="B38" s="22" t="s">
        <v>122</v>
      </c>
      <c r="C38" s="52">
        <v>0.63763546987979514</v>
      </c>
      <c r="D38" s="53">
        <v>0.52123748533325875</v>
      </c>
      <c r="E38" s="49">
        <f t="shared" si="0"/>
        <v>11.639798454653638</v>
      </c>
      <c r="F38" s="52">
        <v>0.12609411284470601</v>
      </c>
      <c r="G38" s="53">
        <v>0.1221094719314219</v>
      </c>
      <c r="H38" s="49">
        <f t="shared" si="1"/>
        <v>0.39846409132841126</v>
      </c>
    </row>
    <row r="39" spans="2:9" ht="18.95" customHeight="1" x14ac:dyDescent="0.25">
      <c r="B39" s="22" t="s">
        <v>120</v>
      </c>
      <c r="C39" s="52">
        <v>0.28949644019998921</v>
      </c>
      <c r="D39" s="53">
        <v>0.19805694615146269</v>
      </c>
      <c r="E39" s="49">
        <f t="shared" si="0"/>
        <v>9.143949404852652</v>
      </c>
      <c r="F39" s="52">
        <v>0.1021771219325876</v>
      </c>
      <c r="G39" s="53">
        <v>5.0805949869541039E-2</v>
      </c>
      <c r="H39" s="49">
        <f t="shared" si="1"/>
        <v>5.137117206304656</v>
      </c>
    </row>
    <row r="40" spans="2:9" ht="18.95" customHeight="1" x14ac:dyDescent="0.25">
      <c r="B40" s="22" t="s">
        <v>135</v>
      </c>
      <c r="C40" s="52">
        <v>0.49347530277688301</v>
      </c>
      <c r="D40" s="53">
        <v>0.40912623517986391</v>
      </c>
      <c r="E40" s="49">
        <f t="shared" si="0"/>
        <v>8.4349067597019101</v>
      </c>
      <c r="F40" s="52">
        <v>0.13981318461171219</v>
      </c>
      <c r="G40" s="53">
        <v>8.6628638808923963E-2</v>
      </c>
      <c r="H40" s="49">
        <f t="shared" si="1"/>
        <v>5.3184545802788223</v>
      </c>
    </row>
    <row r="41" spans="2:9" ht="18.95" customHeight="1" x14ac:dyDescent="0.25">
      <c r="B41" s="22" t="s">
        <v>121</v>
      </c>
      <c r="C41" s="52">
        <v>0.53350854688214344</v>
      </c>
      <c r="D41" s="53">
        <v>0.473630642504207</v>
      </c>
      <c r="E41" s="49">
        <f t="shared" si="0"/>
        <v>5.9877904377936444</v>
      </c>
      <c r="F41" s="52">
        <v>0.1377500156221704</v>
      </c>
      <c r="G41" s="53">
        <v>5.170175313419749E-2</v>
      </c>
      <c r="H41" s="49">
        <f t="shared" si="1"/>
        <v>8.6048262487972913</v>
      </c>
    </row>
    <row r="42" spans="2:9" ht="18.95" customHeight="1" x14ac:dyDescent="0.25">
      <c r="B42" s="22" t="s">
        <v>130</v>
      </c>
      <c r="C42" s="52">
        <v>0.42687842851851138</v>
      </c>
      <c r="D42" s="53">
        <v>0.37930432137101572</v>
      </c>
      <c r="E42" s="49">
        <f t="shared" si="0"/>
        <v>4.7574107147495663</v>
      </c>
      <c r="F42" s="52">
        <v>0.16102023747147609</v>
      </c>
      <c r="G42" s="53">
        <v>8.4259648809893298E-2</v>
      </c>
      <c r="H42" s="49">
        <f t="shared" si="1"/>
        <v>7.6760588661582796</v>
      </c>
    </row>
    <row r="43" spans="2:9" ht="18.95" customHeight="1" x14ac:dyDescent="0.25">
      <c r="B43" s="22" t="s">
        <v>132</v>
      </c>
      <c r="C43" s="52">
        <v>0.38904244534380122</v>
      </c>
      <c r="D43" s="53">
        <v>0.35463237797647562</v>
      </c>
      <c r="E43" s="49">
        <f t="shared" si="0"/>
        <v>3.4410067367325601</v>
      </c>
      <c r="F43" s="52">
        <v>0.1156997081599786</v>
      </c>
      <c r="G43" s="53">
        <v>5.4472597766824053E-2</v>
      </c>
      <c r="H43" s="49">
        <f t="shared" si="1"/>
        <v>6.1227110393154547</v>
      </c>
    </row>
    <row r="44" spans="2:9" ht="18.95" customHeight="1" x14ac:dyDescent="0.25">
      <c r="B44" s="22" t="s">
        <v>133</v>
      </c>
      <c r="C44" s="52">
        <v>0.4091853153755744</v>
      </c>
      <c r="D44" s="53">
        <v>0.37865350256641161</v>
      </c>
      <c r="E44" s="49">
        <f t="shared" si="0"/>
        <v>3.0531812809162782</v>
      </c>
      <c r="F44" s="52">
        <v>0.13166012808260469</v>
      </c>
      <c r="G44" s="53">
        <v>7.6158449519809643E-2</v>
      </c>
      <c r="H44" s="49">
        <f t="shared" si="1"/>
        <v>5.5501678562795043</v>
      </c>
    </row>
    <row r="45" spans="2:9" ht="18.95" customHeight="1" x14ac:dyDescent="0.25">
      <c r="B45" s="22" t="s">
        <v>136</v>
      </c>
      <c r="C45" s="52">
        <v>0.62497426512451093</v>
      </c>
      <c r="D45" s="53">
        <v>0.5958431365070207</v>
      </c>
      <c r="E45" s="49">
        <f t="shared" si="0"/>
        <v>2.9131128617490232</v>
      </c>
      <c r="F45" s="52">
        <v>8.1628955768855829E-2</v>
      </c>
      <c r="G45" s="53">
        <v>0.1073119782518818</v>
      </c>
      <c r="H45" s="49">
        <f t="shared" si="1"/>
        <v>-2.5683022483025968</v>
      </c>
    </row>
    <row r="46" spans="2:9" ht="18.95" customHeight="1" x14ac:dyDescent="0.25">
      <c r="B46" s="22" t="s">
        <v>131</v>
      </c>
      <c r="C46" s="52">
        <v>0.48663475094889092</v>
      </c>
      <c r="D46" s="53">
        <v>0.45855650182252777</v>
      </c>
      <c r="E46" s="49">
        <f t="shared" si="0"/>
        <v>2.8078249126363142</v>
      </c>
      <c r="F46" s="52">
        <v>0.13544346121830139</v>
      </c>
      <c r="G46" s="53">
        <v>8.3103782751300231E-2</v>
      </c>
      <c r="H46" s="49">
        <f t="shared" si="1"/>
        <v>5.2339678467001161</v>
      </c>
    </row>
    <row r="47" spans="2:9" ht="18.95" customHeight="1" x14ac:dyDescent="0.25">
      <c r="B47" s="22" t="s">
        <v>137</v>
      </c>
      <c r="C47" s="52">
        <v>0.4956770292017863</v>
      </c>
      <c r="D47" s="53">
        <v>0.49856550157929369</v>
      </c>
      <c r="E47" s="49">
        <f t="shared" si="0"/>
        <v>-0.28884723775073895</v>
      </c>
      <c r="F47" s="52">
        <v>0.23959899912481589</v>
      </c>
      <c r="G47" s="53">
        <v>0.1318696455035554</v>
      </c>
      <c r="H47" s="49">
        <f t="shared" si="1"/>
        <v>10.772935362126049</v>
      </c>
    </row>
    <row r="48" spans="2:9" ht="18.95" customHeight="1" x14ac:dyDescent="0.25">
      <c r="B48" s="22" t="s">
        <v>129</v>
      </c>
      <c r="C48" s="52">
        <v>0.47824793605701921</v>
      </c>
      <c r="D48" s="53">
        <v>0.51153008944944145</v>
      </c>
      <c r="E48" s="49">
        <f t="shared" si="0"/>
        <v>-3.3282153392422242</v>
      </c>
      <c r="F48" s="52">
        <v>8.7663302159118994E-2</v>
      </c>
      <c r="G48" s="53">
        <v>7.1072709028334374E-2</v>
      </c>
      <c r="H48" s="49">
        <f t="shared" si="1"/>
        <v>1.6590593130784619</v>
      </c>
    </row>
    <row r="49" spans="2:9" ht="18.95" customHeight="1" x14ac:dyDescent="0.25">
      <c r="B49" s="22" t="s">
        <v>128</v>
      </c>
      <c r="C49" s="52">
        <v>0.2455388985385363</v>
      </c>
      <c r="D49" s="53">
        <v>0.30075073674217651</v>
      </c>
      <c r="E49" s="49">
        <f t="shared" si="0"/>
        <v>-5.52118382036402</v>
      </c>
      <c r="F49" s="52">
        <v>7.4835013446930235E-2</v>
      </c>
      <c r="G49" s="53">
        <v>5.6317652441797213E-2</v>
      </c>
      <c r="H49" s="49">
        <f t="shared" si="1"/>
        <v>1.8517361005133022</v>
      </c>
    </row>
    <row r="50" spans="2:9" ht="18.95" customHeight="1" x14ac:dyDescent="0.25">
      <c r="B50" s="22" t="s">
        <v>138</v>
      </c>
      <c r="C50" s="52">
        <v>0.6213110513959117</v>
      </c>
      <c r="D50" s="53">
        <v>0.68697766429491647</v>
      </c>
      <c r="E50" s="49">
        <f t="shared" si="0"/>
        <v>-6.5666612899004768</v>
      </c>
      <c r="F50" s="52">
        <v>0.1087627408766466</v>
      </c>
      <c r="G50" s="53">
        <v>0.1024517324328446</v>
      </c>
      <c r="H50" s="49">
        <f t="shared" si="1"/>
        <v>0.6311008443802002</v>
      </c>
    </row>
    <row r="51" spans="2:9" ht="18.95" customHeight="1" x14ac:dyDescent="0.25">
      <c r="B51" s="22" t="s">
        <v>124</v>
      </c>
      <c r="C51" s="52">
        <v>0.60890914690363207</v>
      </c>
      <c r="D51" s="53">
        <v>0.68504872383530535</v>
      </c>
      <c r="E51" s="49">
        <f t="shared" si="0"/>
        <v>-7.6139576931673281</v>
      </c>
      <c r="F51" s="52">
        <v>0.15735993820320809</v>
      </c>
      <c r="G51" s="53">
        <v>0.1727610977797969</v>
      </c>
      <c r="H51" s="49">
        <f t="shared" si="1"/>
        <v>-1.5401159576588803</v>
      </c>
    </row>
    <row r="52" spans="2:9" ht="18.95" customHeight="1" x14ac:dyDescent="0.25">
      <c r="B52" s="22" t="s">
        <v>127</v>
      </c>
      <c r="C52" s="52">
        <v>0.54713296413655332</v>
      </c>
      <c r="D52" s="53">
        <v>0.62447120812176304</v>
      </c>
      <c r="E52" s="49">
        <f t="shared" si="0"/>
        <v>-7.733824398520972</v>
      </c>
      <c r="F52" s="52">
        <v>0.1200692615079355</v>
      </c>
      <c r="G52" s="53">
        <v>9.9791077879840054E-2</v>
      </c>
      <c r="H52" s="49">
        <f t="shared" si="1"/>
        <v>2.0278183628095441</v>
      </c>
    </row>
    <row r="53" spans="2:9" ht="18.95" customHeight="1" x14ac:dyDescent="0.25">
      <c r="B53" s="22" t="s">
        <v>126</v>
      </c>
      <c r="C53" s="52">
        <v>0.52262231204136145</v>
      </c>
      <c r="D53" s="53">
        <v>0.62364278621487967</v>
      </c>
      <c r="E53" s="49">
        <f t="shared" si="0"/>
        <v>-10.102047417351823</v>
      </c>
      <c r="F53" s="52">
        <v>9.3311017576844207E-2</v>
      </c>
      <c r="G53" s="53">
        <v>0.1020673555636481</v>
      </c>
      <c r="H53" s="49">
        <f t="shared" si="1"/>
        <v>-0.87563379868038915</v>
      </c>
    </row>
    <row r="54" spans="2:9" ht="18.95" customHeight="1" x14ac:dyDescent="0.25">
      <c r="B54" s="22" t="s">
        <v>134</v>
      </c>
      <c r="C54" s="52">
        <v>0.44223865266662099</v>
      </c>
      <c r="D54" s="53">
        <v>0.55525365610511423</v>
      </c>
      <c r="E54" s="49">
        <f t="shared" si="0"/>
        <v>-11.301500343849325</v>
      </c>
      <c r="F54" s="52">
        <v>7.6704681000066194E-2</v>
      </c>
      <c r="G54" s="53">
        <v>8.6340924774842773E-2</v>
      </c>
      <c r="H54" s="49">
        <f t="shared" si="1"/>
        <v>-0.96362437747765783</v>
      </c>
    </row>
    <row r="55" spans="2:9" ht="18.95" customHeight="1" x14ac:dyDescent="0.25">
      <c r="B55" s="22" t="s">
        <v>125</v>
      </c>
      <c r="C55" s="52">
        <v>0.26672928294474618</v>
      </c>
      <c r="D55" s="53">
        <v>0.45433043672847118</v>
      </c>
      <c r="E55" s="49">
        <f t="shared" si="0"/>
        <v>-18.7601153783725</v>
      </c>
      <c r="F55" s="52">
        <v>0.13537086102192161</v>
      </c>
      <c r="G55" s="53">
        <v>0.1078523770363698</v>
      </c>
      <c r="H55" s="49">
        <f t="shared" si="1"/>
        <v>2.7518483985551816</v>
      </c>
    </row>
    <row r="57" spans="2:9" ht="24" customHeight="1" x14ac:dyDescent="0.3">
      <c r="B57" s="31" t="s">
        <v>290</v>
      </c>
    </row>
    <row r="58" spans="2:9" ht="20.25" customHeight="1" x14ac:dyDescent="0.25">
      <c r="B58" s="84" t="s">
        <v>291</v>
      </c>
      <c r="C58" s="83"/>
      <c r="D58" s="83"/>
      <c r="E58" s="83"/>
      <c r="F58" s="83"/>
      <c r="G58" s="83"/>
      <c r="H58" s="83"/>
      <c r="I58" s="83"/>
    </row>
    <row r="59" spans="2:9" ht="33.950000000000003" customHeight="1" x14ac:dyDescent="0.25">
      <c r="B59" s="20" t="s">
        <v>292</v>
      </c>
      <c r="C59" s="20" t="s">
        <v>212</v>
      </c>
      <c r="D59" s="20" t="s">
        <v>178</v>
      </c>
      <c r="E59" s="20" t="s">
        <v>179</v>
      </c>
      <c r="F59" s="20" t="s">
        <v>193</v>
      </c>
      <c r="G59" s="20" t="s">
        <v>213</v>
      </c>
    </row>
    <row r="60" spans="2:9" ht="20.100000000000001" customHeight="1" x14ac:dyDescent="0.25">
      <c r="B60" s="54" t="s">
        <v>278</v>
      </c>
    </row>
    <row r="61" spans="2:9" ht="18.95" customHeight="1" x14ac:dyDescent="0.25">
      <c r="B61" s="55" t="s">
        <v>214</v>
      </c>
      <c r="C61" s="44">
        <v>6.4682899567040124</v>
      </c>
      <c r="D61" s="44">
        <v>0.95961064288384079</v>
      </c>
      <c r="E61" s="44">
        <v>11.504121026766841</v>
      </c>
      <c r="F61" s="42">
        <v>2.4083904437922E-2</v>
      </c>
      <c r="G61" s="21" t="str">
        <f>IF(OR(D61&gt;0,E61&lt;0),"Sí","No")</f>
        <v>Sí</v>
      </c>
    </row>
    <row r="62" spans="2:9" ht="18.95" customHeight="1" x14ac:dyDescent="0.25">
      <c r="B62" s="55" t="s">
        <v>216</v>
      </c>
      <c r="C62" s="44">
        <v>-8.4536540512359995E-3</v>
      </c>
      <c r="D62" s="44">
        <v>-0.14473063490895061</v>
      </c>
      <c r="E62" s="44">
        <v>0.1459709076702316</v>
      </c>
      <c r="F62" s="42">
        <v>0.91777681158228042</v>
      </c>
      <c r="G62" s="21" t="str">
        <f>IF(OR(D62&gt;0,E62&lt;0),"Sí","No")</f>
        <v>No</v>
      </c>
    </row>
    <row r="63" spans="2:9" ht="18.95" customHeight="1" x14ac:dyDescent="0.25">
      <c r="B63" s="55" t="s">
        <v>217</v>
      </c>
      <c r="C63" s="44">
        <v>1.5055406666880951</v>
      </c>
      <c r="D63" s="44">
        <v>-1.110614753124E-2</v>
      </c>
      <c r="E63" s="44">
        <v>3.9044110203235651</v>
      </c>
      <c r="F63" s="42">
        <v>0.1212427058617694</v>
      </c>
      <c r="G63" s="21" t="str">
        <f>IF(OR(D63&gt;0,E63&lt;0),"Sí","No")</f>
        <v>No</v>
      </c>
    </row>
    <row r="64" spans="2:9" ht="18.95" customHeight="1" x14ac:dyDescent="0.25">
      <c r="B64" s="55" t="s">
        <v>276</v>
      </c>
      <c r="C64" s="44">
        <v>2.4520120263858969</v>
      </c>
      <c r="D64" s="44">
        <v>-2.960762353834228</v>
      </c>
      <c r="E64" s="44">
        <v>7.5996142862831446</v>
      </c>
      <c r="F64" s="42">
        <v>0.34015074879814561</v>
      </c>
      <c r="G64" s="21" t="str">
        <f>IF(OR(D64&gt;0,E64&lt;0),"Sí","No")</f>
        <v>No</v>
      </c>
    </row>
    <row r="65" spans="2:9" ht="20.100000000000001" customHeight="1" x14ac:dyDescent="0.25">
      <c r="B65" s="54" t="s">
        <v>279</v>
      </c>
    </row>
    <row r="66" spans="2:9" ht="18.95" customHeight="1" x14ac:dyDescent="0.25">
      <c r="B66" s="55" t="s">
        <v>214</v>
      </c>
      <c r="C66" s="44">
        <v>18.01970515501932</v>
      </c>
      <c r="D66" s="44">
        <v>12.88331657275376</v>
      </c>
      <c r="E66" s="44">
        <v>23.431943838486539</v>
      </c>
      <c r="F66" s="42">
        <v>3.437995372135948E-9</v>
      </c>
      <c r="G66" s="21" t="str">
        <f>IF(OR(D66&gt;0,E66&lt;0),"Sí","No")</f>
        <v>Sí</v>
      </c>
    </row>
    <row r="67" spans="2:9" ht="18.95" customHeight="1" x14ac:dyDescent="0.25">
      <c r="B67" s="55" t="s">
        <v>216</v>
      </c>
      <c r="C67" s="44">
        <v>-0.31917353065088749</v>
      </c>
      <c r="D67" s="44">
        <v>-0.45608201546308119</v>
      </c>
      <c r="E67" s="44">
        <v>-0.1774867507894273</v>
      </c>
      <c r="F67" s="42">
        <v>1.642841307435188E-5</v>
      </c>
      <c r="G67" s="21" t="str">
        <f>IF(OR(D67&gt;0,E67&lt;0),"Sí","No")</f>
        <v>Sí</v>
      </c>
    </row>
    <row r="68" spans="2:9" ht="18.95" customHeight="1" x14ac:dyDescent="0.25">
      <c r="B68" s="55" t="s">
        <v>217</v>
      </c>
      <c r="C68" s="44">
        <v>0.40011607971187141</v>
      </c>
      <c r="D68" s="44">
        <v>-2.0464306511765158</v>
      </c>
      <c r="E68" s="44">
        <v>1.9658209921258081</v>
      </c>
      <c r="F68" s="42">
        <v>0.66375908040566478</v>
      </c>
      <c r="G68" s="21" t="str">
        <f>IF(OR(D68&gt;0,E68&lt;0),"Sí","No")</f>
        <v>No</v>
      </c>
    </row>
    <row r="69" spans="2:9" ht="18.95" customHeight="1" x14ac:dyDescent="0.25">
      <c r="B69" s="55" t="s">
        <v>276</v>
      </c>
      <c r="C69" s="44">
        <v>2.6948940586949881</v>
      </c>
      <c r="D69" s="44">
        <v>-1.693594501425558</v>
      </c>
      <c r="E69" s="44">
        <v>8.2915547107420675</v>
      </c>
      <c r="F69" s="42">
        <v>0.31071020810046718</v>
      </c>
      <c r="G69" s="21" t="str">
        <f>IF(OR(D69&gt;0,E69&lt;0),"Sí","No")</f>
        <v>No</v>
      </c>
    </row>
    <row r="70" spans="2:9" ht="20.100000000000001" customHeight="1" x14ac:dyDescent="0.25">
      <c r="B70" s="54" t="s">
        <v>280</v>
      </c>
    </row>
    <row r="71" spans="2:9" ht="18.95" customHeight="1" x14ac:dyDescent="0.25">
      <c r="B71" s="55" t="s">
        <v>214</v>
      </c>
      <c r="C71" s="44">
        <v>9.2810294480686597</v>
      </c>
      <c r="D71" s="44">
        <v>5.0488639542045908</v>
      </c>
      <c r="E71" s="44">
        <v>13.89178340321004</v>
      </c>
      <c r="F71" s="42">
        <v>1.684289618809E-4</v>
      </c>
      <c r="G71" s="21" t="str">
        <f>IF(OR(D71&gt;0,E71&lt;0),"Sí","No")</f>
        <v>Sí</v>
      </c>
    </row>
    <row r="72" spans="2:9" ht="18.95" customHeight="1" x14ac:dyDescent="0.25">
      <c r="B72" s="55" t="s">
        <v>216</v>
      </c>
      <c r="C72" s="44">
        <v>0.49827179282514161</v>
      </c>
      <c r="D72" s="44">
        <v>0.3634411314829431</v>
      </c>
      <c r="E72" s="44">
        <v>0.67064388729667734</v>
      </c>
      <c r="F72" s="42">
        <v>3.7013009936519128E-8</v>
      </c>
      <c r="G72" s="21" t="str">
        <f>IF(OR(D72&gt;0,E72&lt;0),"Sí","No")</f>
        <v>Sí</v>
      </c>
    </row>
    <row r="73" spans="2:9" ht="18.95" customHeight="1" x14ac:dyDescent="0.25">
      <c r="B73" s="55" t="s">
        <v>217</v>
      </c>
      <c r="C73" s="44">
        <v>-5.1024284221668754</v>
      </c>
      <c r="D73" s="44">
        <v>-7.6943230979662536</v>
      </c>
      <c r="E73" s="44">
        <v>-3.52584848168252</v>
      </c>
      <c r="F73" s="42">
        <v>1.5991757196176431E-6</v>
      </c>
      <c r="G73" s="21" t="str">
        <f>IF(OR(D73&gt;0,E73&lt;0),"Sí","No")</f>
        <v>Sí</v>
      </c>
    </row>
    <row r="74" spans="2:9" ht="18.95" customHeight="1" x14ac:dyDescent="0.25">
      <c r="B74" s="55" t="s">
        <v>276</v>
      </c>
      <c r="C74" s="44">
        <v>19.499487649067682</v>
      </c>
      <c r="D74" s="44">
        <v>12.815493180322459</v>
      </c>
      <c r="E74" s="44">
        <v>24.96954374859159</v>
      </c>
      <c r="F74" s="42">
        <v>1.820082665313697E-9</v>
      </c>
      <c r="G74" s="21" t="str">
        <f>IF(OR(D74&gt;0,E74&lt;0),"Sí","No")</f>
        <v>Sí</v>
      </c>
    </row>
    <row r="76" spans="2:9" ht="19.7" customHeight="1" x14ac:dyDescent="0.25">
      <c r="B76" s="129" t="s">
        <v>293</v>
      </c>
      <c r="C76" s="83"/>
      <c r="D76" s="83"/>
      <c r="E76" s="83"/>
      <c r="F76" s="83"/>
      <c r="G76" s="83"/>
      <c r="H76" s="83"/>
      <c r="I76" s="83"/>
    </row>
  </sheetData>
  <mergeCells count="6">
    <mergeCell ref="B1:L1"/>
    <mergeCell ref="B58:I58"/>
    <mergeCell ref="B13:I13"/>
    <mergeCell ref="B7:I7"/>
    <mergeCell ref="B76:I76"/>
    <mergeCell ref="B35:I35"/>
  </mergeCells>
  <conditionalFormatting sqref="B61:G64">
    <cfRule type="expression" dxfId="4" priority="3">
      <formula>AND($D61&lt;0,$E61&gt;0)</formula>
    </cfRule>
  </conditionalFormatting>
  <conditionalFormatting sqref="B66:G69">
    <cfRule type="expression" dxfId="3" priority="4">
      <formula>AND($D66&lt;0,$E66&gt;0)</formula>
    </cfRule>
  </conditionalFormatting>
  <conditionalFormatting sqref="B71:G74">
    <cfRule type="expression" dxfId="2" priority="5">
      <formula>AND($D71&lt;0,$E71&gt;0)</formula>
    </cfRule>
  </conditionalFormatting>
  <conditionalFormatting sqref="E37:E55">
    <cfRule type="colorScale" priority="1">
      <colorScale>
        <cfvo type="min"/>
        <cfvo type="max"/>
        <color rgb="FFEFE3F8"/>
        <color rgb="FFC9A3E6"/>
      </colorScale>
    </cfRule>
  </conditionalFormatting>
  <conditionalFormatting sqref="H37:H55">
    <cfRule type="colorScale" priority="2">
      <colorScale>
        <cfvo type="min"/>
        <cfvo type="max"/>
        <color rgb="FFEFE3F8"/>
        <color rgb="FFC9A3E6"/>
      </colorScale>
    </cfRule>
  </conditionalFormatting>
  <hyperlinks>
    <hyperlink ref="M1" location="'Portada'!A1" display="← Portada" xr:uid="{00000000-0004-0000-0600-000000000000}"/>
  </hyperlinks>
  <printOptions horizontalCentered="1"/>
  <pageMargins left="0.4" right="0.4" top="0.45" bottom="0.6" header="0.2" footer="0.3"/>
  <pageSetup fitToHeight="2" orientation="portrait"/>
  <headerFooter>
    <oddFooter>&amp;L&amp;7 &amp;K4B4B4BEl miedo que no baja · The data squad · Bogotá DataJam 5&amp;R&amp;7 &amp;K4B4B4B&amp;A · &amp;P de &amp;N</oddFooter>
  </headerFooter>
  <rowBreaks count="1" manualBreakCount="1">
    <brk id="33" max="16383" man="1"/>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B0F24"/>
    <pageSetUpPr fitToPage="1"/>
  </sheetPr>
  <dimension ref="B1:N56"/>
  <sheetViews>
    <sheetView showGridLines="0" zoomScale="90" workbookViewId="0">
      <pane xSplit="3" ySplit="5" topLeftCell="D6"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6" customWidth="1"/>
    <col min="4" max="12" width="10" customWidth="1"/>
    <col min="13" max="14" width="13" customWidth="1"/>
  </cols>
  <sheetData>
    <row r="1" spans="2:14" ht="20.100000000000001" customHeight="1" x14ac:dyDescent="0.25">
      <c r="B1" s="116" t="s">
        <v>49</v>
      </c>
      <c r="C1" s="83"/>
      <c r="D1" s="83"/>
      <c r="E1" s="83"/>
      <c r="F1" s="83"/>
      <c r="G1" s="83"/>
      <c r="H1" s="83"/>
      <c r="I1" s="83"/>
      <c r="J1" s="83"/>
      <c r="K1" s="83"/>
      <c r="L1" s="83"/>
      <c r="M1" s="83"/>
      <c r="N1" s="14" t="s">
        <v>50</v>
      </c>
    </row>
    <row r="2" spans="2:14" ht="30" customHeight="1" x14ac:dyDescent="0.25">
      <c r="B2" s="15" t="s">
        <v>294</v>
      </c>
    </row>
    <row r="3" spans="2:14" ht="20.100000000000001" customHeight="1" x14ac:dyDescent="0.25">
      <c r="B3" s="16" t="s">
        <v>295</v>
      </c>
    </row>
    <row r="4" spans="2:14" ht="3" customHeight="1" x14ac:dyDescent="0.25">
      <c r="B4" s="2"/>
      <c r="C4" s="2"/>
      <c r="D4" s="2"/>
      <c r="E4" s="2"/>
      <c r="F4" s="2"/>
      <c r="G4" s="2"/>
      <c r="H4" s="2"/>
      <c r="I4" s="2"/>
      <c r="J4" s="2"/>
      <c r="K4" s="2"/>
      <c r="L4" s="2"/>
      <c r="M4" s="2"/>
      <c r="N4" s="2"/>
    </row>
    <row r="5" spans="2:14" ht="9.9499999999999993" customHeight="1" x14ac:dyDescent="0.25"/>
    <row r="6" spans="2:14" ht="24" customHeight="1" x14ac:dyDescent="0.3">
      <c r="B6" s="31" t="s">
        <v>296</v>
      </c>
    </row>
    <row r="7" spans="2:14" ht="33.950000000000003" customHeight="1" x14ac:dyDescent="0.25">
      <c r="B7" s="20" t="s">
        <v>96</v>
      </c>
      <c r="C7" s="20" t="s">
        <v>297</v>
      </c>
      <c r="D7" s="20" t="s">
        <v>298</v>
      </c>
      <c r="E7" s="20" t="s">
        <v>299</v>
      </c>
      <c r="F7" s="20" t="s">
        <v>300</v>
      </c>
      <c r="G7" s="20" t="s">
        <v>301</v>
      </c>
      <c r="H7" s="20" t="s">
        <v>302</v>
      </c>
      <c r="I7" s="20" t="s">
        <v>303</v>
      </c>
      <c r="J7" s="20" t="s">
        <v>304</v>
      </c>
      <c r="K7" s="20" t="s">
        <v>305</v>
      </c>
      <c r="L7" s="20" t="s">
        <v>306</v>
      </c>
      <c r="M7" s="20" t="s">
        <v>307</v>
      </c>
      <c r="N7" s="20" t="s">
        <v>308</v>
      </c>
    </row>
    <row r="8" spans="2:14" ht="18.95" customHeight="1" x14ac:dyDescent="0.25">
      <c r="B8" s="56" t="s">
        <v>309</v>
      </c>
      <c r="C8" s="57" t="s">
        <v>310</v>
      </c>
      <c r="D8" s="58">
        <v>170219</v>
      </c>
      <c r="E8" s="58">
        <v>210160</v>
      </c>
      <c r="F8" s="58">
        <v>128255</v>
      </c>
      <c r="G8" s="58">
        <v>159145</v>
      </c>
      <c r="H8" s="58">
        <v>178532</v>
      </c>
      <c r="I8" s="58">
        <v>106736</v>
      </c>
      <c r="J8" s="58">
        <v>85924</v>
      </c>
      <c r="K8" s="58">
        <v>84225</v>
      </c>
      <c r="L8" s="58">
        <v>73563</v>
      </c>
      <c r="M8" s="59">
        <f t="shared" ref="M8:M18" si="0">IF(L8="","",L8/D8-1)</f>
        <v>-0.56783320310893615</v>
      </c>
      <c r="N8" s="59">
        <f t="shared" ref="N8:N18" si="1">IF(L8="","",L8/E8-1)</f>
        <v>-0.64996669204415691</v>
      </c>
    </row>
    <row r="9" spans="2:14" ht="18.95" customHeight="1" x14ac:dyDescent="0.25">
      <c r="B9" s="21" t="s">
        <v>311</v>
      </c>
      <c r="C9" s="22" t="s">
        <v>312</v>
      </c>
      <c r="D9" s="23">
        <v>5514</v>
      </c>
      <c r="E9" s="23">
        <v>5396</v>
      </c>
      <c r="F9" s="23">
        <v>4290</v>
      </c>
      <c r="G9" s="23">
        <v>6516</v>
      </c>
      <c r="H9" s="23">
        <v>6555</v>
      </c>
      <c r="I9" s="23">
        <v>3708</v>
      </c>
      <c r="J9" s="23">
        <v>3895</v>
      </c>
      <c r="K9" s="23">
        <v>3060</v>
      </c>
      <c r="L9" s="23">
        <v>2923</v>
      </c>
      <c r="M9" s="60">
        <f t="shared" si="0"/>
        <v>-0.46989481320275661</v>
      </c>
      <c r="N9" s="60">
        <f t="shared" si="1"/>
        <v>-0.45830244625648631</v>
      </c>
    </row>
    <row r="10" spans="2:14" ht="18.95" customHeight="1" x14ac:dyDescent="0.25">
      <c r="B10" s="21" t="s">
        <v>313</v>
      </c>
      <c r="C10" s="22" t="s">
        <v>314</v>
      </c>
      <c r="D10" s="23">
        <v>45079</v>
      </c>
      <c r="E10" s="23">
        <v>39779</v>
      </c>
      <c r="F10" s="23">
        <v>30342</v>
      </c>
      <c r="G10" s="23">
        <v>36621</v>
      </c>
      <c r="H10" s="23">
        <v>38042</v>
      </c>
      <c r="I10" s="23">
        <v>36932</v>
      </c>
      <c r="J10" s="23">
        <v>27120</v>
      </c>
      <c r="K10" s="23">
        <v>23027</v>
      </c>
      <c r="L10" s="23">
        <v>24374</v>
      </c>
      <c r="M10" s="60">
        <f t="shared" si="0"/>
        <v>-0.45930477605980613</v>
      </c>
      <c r="N10" s="60">
        <f t="shared" si="1"/>
        <v>-0.38726463712008852</v>
      </c>
    </row>
    <row r="11" spans="2:14" ht="18.95" customHeight="1" x14ac:dyDescent="0.25">
      <c r="B11" s="21" t="s">
        <v>315</v>
      </c>
      <c r="C11" s="22" t="s">
        <v>316</v>
      </c>
      <c r="D11" s="23">
        <v>19486</v>
      </c>
      <c r="E11" s="23">
        <v>18624</v>
      </c>
      <c r="F11" s="23">
        <v>15904</v>
      </c>
      <c r="G11" s="23">
        <v>15121</v>
      </c>
      <c r="H11" s="23">
        <v>9866</v>
      </c>
      <c r="I11" s="23">
        <v>5518</v>
      </c>
      <c r="J11" s="23">
        <v>4171</v>
      </c>
      <c r="K11" s="23">
        <v>4014</v>
      </c>
      <c r="L11" s="23">
        <v>4289</v>
      </c>
      <c r="M11" s="60">
        <f t="shared" si="0"/>
        <v>-0.77989325669711584</v>
      </c>
      <c r="N11" s="60">
        <f t="shared" si="1"/>
        <v>-0.76970575601374569</v>
      </c>
    </row>
    <row r="12" spans="2:14" ht="18.95" customHeight="1" x14ac:dyDescent="0.25">
      <c r="B12" s="21" t="s">
        <v>317</v>
      </c>
      <c r="C12" s="22" t="s">
        <v>318</v>
      </c>
      <c r="D12" s="23">
        <v>4826</v>
      </c>
      <c r="E12" s="23">
        <v>4876</v>
      </c>
      <c r="F12" s="23">
        <v>4054</v>
      </c>
      <c r="G12" s="23">
        <v>4682</v>
      </c>
      <c r="H12" s="23">
        <v>4675</v>
      </c>
      <c r="I12" s="23">
        <v>2800</v>
      </c>
      <c r="J12" s="23">
        <v>2945</v>
      </c>
      <c r="K12" s="23">
        <v>2176</v>
      </c>
      <c r="L12" s="23">
        <v>2029</v>
      </c>
      <c r="M12" s="60">
        <f t="shared" si="0"/>
        <v>-0.57956900124326571</v>
      </c>
      <c r="N12" s="60">
        <f t="shared" si="1"/>
        <v>-0.58388022969647246</v>
      </c>
    </row>
    <row r="13" spans="2:14" ht="18.95" customHeight="1" x14ac:dyDescent="0.25">
      <c r="B13" s="21" t="s">
        <v>319</v>
      </c>
      <c r="C13" s="22" t="s">
        <v>320</v>
      </c>
      <c r="D13" s="23">
        <v>27634</v>
      </c>
      <c r="E13" s="23">
        <v>27347</v>
      </c>
      <c r="F13" s="23">
        <v>18012</v>
      </c>
      <c r="G13" s="23">
        <v>17337</v>
      </c>
      <c r="H13" s="23">
        <v>15453</v>
      </c>
      <c r="I13" s="23">
        <v>9033</v>
      </c>
      <c r="J13" s="23">
        <v>7766</v>
      </c>
      <c r="K13" s="23">
        <v>6296</v>
      </c>
      <c r="L13" s="23">
        <v>5805</v>
      </c>
      <c r="M13" s="60">
        <f t="shared" si="0"/>
        <v>-0.78993269161178259</v>
      </c>
      <c r="N13" s="60">
        <f t="shared" si="1"/>
        <v>-0.78772808717592424</v>
      </c>
    </row>
    <row r="14" spans="2:14" ht="18.95" customHeight="1" x14ac:dyDescent="0.25">
      <c r="B14" s="21" t="s">
        <v>321</v>
      </c>
      <c r="C14" s="22" t="s">
        <v>322</v>
      </c>
      <c r="D14" s="23">
        <v>5349</v>
      </c>
      <c r="E14" s="23">
        <v>5226</v>
      </c>
      <c r="F14" s="23">
        <v>7148</v>
      </c>
      <c r="G14" s="23">
        <v>6738</v>
      </c>
      <c r="H14" s="23">
        <v>5560</v>
      </c>
      <c r="I14" s="23">
        <v>5428</v>
      </c>
      <c r="J14" s="23">
        <v>5193</v>
      </c>
      <c r="K14" s="23">
        <v>4661</v>
      </c>
      <c r="L14" s="23">
        <v>5133</v>
      </c>
      <c r="M14" s="60">
        <f t="shared" si="0"/>
        <v>-4.0381379697139619E-2</v>
      </c>
      <c r="N14" s="60">
        <f t="shared" si="1"/>
        <v>-1.7795637198622316E-2</v>
      </c>
    </row>
    <row r="15" spans="2:14" ht="18.95" customHeight="1" x14ac:dyDescent="0.25">
      <c r="B15" s="21" t="s">
        <v>323</v>
      </c>
      <c r="C15" s="22" t="s">
        <v>324</v>
      </c>
      <c r="D15" s="23">
        <v>684</v>
      </c>
      <c r="E15" s="23">
        <v>656</v>
      </c>
      <c r="F15" s="23">
        <v>654</v>
      </c>
      <c r="G15" s="23">
        <v>763</v>
      </c>
      <c r="H15" s="23">
        <v>658</v>
      </c>
      <c r="I15" s="23">
        <v>712</v>
      </c>
      <c r="J15" s="23">
        <v>747</v>
      </c>
      <c r="K15" s="23">
        <v>799</v>
      </c>
      <c r="L15" s="23">
        <v>740</v>
      </c>
      <c r="M15" s="60">
        <f t="shared" si="0"/>
        <v>8.1871345029239873E-2</v>
      </c>
      <c r="N15" s="60">
        <f t="shared" si="1"/>
        <v>0.12804878048780477</v>
      </c>
    </row>
    <row r="16" spans="2:14" ht="18.95" customHeight="1" x14ac:dyDescent="0.25">
      <c r="B16" s="21" t="s">
        <v>325</v>
      </c>
      <c r="C16" s="22" t="s">
        <v>326</v>
      </c>
      <c r="D16" s="23">
        <v>19167</v>
      </c>
      <c r="E16" s="23">
        <v>15830</v>
      </c>
      <c r="F16" s="23">
        <v>9998</v>
      </c>
      <c r="G16" s="23">
        <v>14811</v>
      </c>
      <c r="H16" s="23">
        <v>13855</v>
      </c>
      <c r="I16" s="23">
        <v>12438</v>
      </c>
      <c r="J16" s="23">
        <v>12140</v>
      </c>
      <c r="K16" s="23">
        <v>12431</v>
      </c>
      <c r="L16" s="23"/>
      <c r="M16" s="60" t="str">
        <f t="shared" si="0"/>
        <v/>
      </c>
      <c r="N16" s="60" t="str">
        <f t="shared" si="1"/>
        <v/>
      </c>
    </row>
    <row r="17" spans="2:14" ht="18.95" customHeight="1" x14ac:dyDescent="0.25">
      <c r="B17" s="21" t="s">
        <v>327</v>
      </c>
      <c r="C17" s="22" t="s">
        <v>328</v>
      </c>
      <c r="D17" s="23">
        <v>23854</v>
      </c>
      <c r="E17" s="23">
        <v>23165</v>
      </c>
      <c r="F17" s="23">
        <v>24501</v>
      </c>
      <c r="G17" s="23">
        <v>23157</v>
      </c>
      <c r="H17" s="23">
        <v>23085</v>
      </c>
      <c r="I17" s="23">
        <v>20251</v>
      </c>
      <c r="J17" s="23">
        <v>26870</v>
      </c>
      <c r="K17" s="23">
        <v>29440</v>
      </c>
      <c r="L17" s="23">
        <v>34859</v>
      </c>
      <c r="M17" s="60">
        <f t="shared" si="0"/>
        <v>0.46134820155948697</v>
      </c>
      <c r="N17" s="60">
        <f t="shared" si="1"/>
        <v>0.50481329592056978</v>
      </c>
    </row>
    <row r="18" spans="2:14" ht="18.95" customHeight="1" x14ac:dyDescent="0.25">
      <c r="B18" s="21" t="s">
        <v>329</v>
      </c>
      <c r="C18" s="22" t="s">
        <v>330</v>
      </c>
      <c r="D18" s="23">
        <v>3593</v>
      </c>
      <c r="E18" s="23">
        <v>4167</v>
      </c>
      <c r="F18" s="23">
        <v>3209</v>
      </c>
      <c r="G18" s="23">
        <v>3955</v>
      </c>
      <c r="H18" s="23">
        <v>4575</v>
      </c>
      <c r="I18" s="23">
        <v>3906</v>
      </c>
      <c r="J18" s="23">
        <v>6433</v>
      </c>
      <c r="K18" s="23">
        <v>5981</v>
      </c>
      <c r="L18" s="23">
        <v>5224</v>
      </c>
      <c r="M18" s="60">
        <f t="shared" si="0"/>
        <v>0.45393821319231842</v>
      </c>
      <c r="N18" s="60">
        <f t="shared" si="1"/>
        <v>0.25365970722342213</v>
      </c>
    </row>
    <row r="19" spans="2:14" ht="19.7" customHeight="1" x14ac:dyDescent="0.25">
      <c r="B19" s="129" t="s">
        <v>331</v>
      </c>
      <c r="C19" s="83"/>
      <c r="D19" s="83"/>
      <c r="E19" s="83"/>
      <c r="F19" s="83"/>
      <c r="G19" s="83"/>
      <c r="H19" s="83"/>
      <c r="I19" s="83"/>
      <c r="J19" s="83"/>
      <c r="K19" s="83"/>
      <c r="L19" s="83"/>
      <c r="M19" s="83"/>
      <c r="N19" s="83"/>
    </row>
    <row r="21" spans="2:14" ht="24" customHeight="1" x14ac:dyDescent="0.3">
      <c r="B21" s="31" t="s">
        <v>332</v>
      </c>
    </row>
    <row r="43" spans="2:12" ht="24" customHeight="1" x14ac:dyDescent="0.3">
      <c r="B43" s="31" t="s">
        <v>333</v>
      </c>
    </row>
    <row r="44" spans="2:12" ht="30" customHeight="1" x14ac:dyDescent="0.25">
      <c r="B44" s="20" t="s">
        <v>96</v>
      </c>
      <c r="C44" s="20" t="s">
        <v>297</v>
      </c>
      <c r="D44" s="20" t="s">
        <v>298</v>
      </c>
      <c r="E44" s="20" t="s">
        <v>299</v>
      </c>
      <c r="F44" s="20" t="s">
        <v>300</v>
      </c>
      <c r="G44" s="20" t="s">
        <v>301</v>
      </c>
      <c r="H44" s="20" t="s">
        <v>302</v>
      </c>
      <c r="I44" s="20" t="s">
        <v>303</v>
      </c>
      <c r="J44" s="20" t="s">
        <v>304</v>
      </c>
      <c r="K44" s="20" t="s">
        <v>305</v>
      </c>
      <c r="L44" s="20" t="s">
        <v>306</v>
      </c>
    </row>
    <row r="45" spans="2:12" ht="18.95" customHeight="1" x14ac:dyDescent="0.25">
      <c r="B45" s="56" t="s">
        <v>309</v>
      </c>
      <c r="C45" s="57" t="s">
        <v>310</v>
      </c>
      <c r="D45" s="61">
        <f t="shared" ref="D45:L45" si="2">IF(D8="","",D8/$D8*100)</f>
        <v>100</v>
      </c>
      <c r="E45" s="61">
        <f t="shared" si="2"/>
        <v>123.46447811348908</v>
      </c>
      <c r="F45" s="61">
        <f t="shared" si="2"/>
        <v>75.347052914187017</v>
      </c>
      <c r="G45" s="61">
        <f t="shared" si="2"/>
        <v>93.49426327260764</v>
      </c>
      <c r="H45" s="61">
        <f t="shared" si="2"/>
        <v>104.88370863417127</v>
      </c>
      <c r="I45" s="61">
        <f t="shared" si="2"/>
        <v>62.705103425587041</v>
      </c>
      <c r="J45" s="61">
        <f t="shared" si="2"/>
        <v>50.478501224892639</v>
      </c>
      <c r="K45" s="61">
        <f t="shared" si="2"/>
        <v>49.48037528125532</v>
      </c>
      <c r="L45" s="61">
        <f t="shared" si="2"/>
        <v>43.216679689106385</v>
      </c>
    </row>
    <row r="46" spans="2:12" ht="18.95" customHeight="1" x14ac:dyDescent="0.25">
      <c r="B46" s="21" t="s">
        <v>311</v>
      </c>
      <c r="C46" s="22" t="s">
        <v>312</v>
      </c>
      <c r="D46" s="62">
        <f t="shared" ref="D46:L46" si="3">IF(D9="","",D9/$D9*100)</f>
        <v>100</v>
      </c>
      <c r="E46" s="62">
        <f t="shared" si="3"/>
        <v>97.859992745738126</v>
      </c>
      <c r="F46" s="62">
        <f t="shared" si="3"/>
        <v>77.801958650707292</v>
      </c>
      <c r="G46" s="62">
        <f t="shared" si="3"/>
        <v>118.17192600652884</v>
      </c>
      <c r="H46" s="62">
        <f t="shared" si="3"/>
        <v>118.87921653971709</v>
      </c>
      <c r="I46" s="62">
        <f t="shared" si="3"/>
        <v>67.247007616974969</v>
      </c>
      <c r="J46" s="62">
        <f t="shared" si="3"/>
        <v>70.638375045339146</v>
      </c>
      <c r="K46" s="62">
        <f t="shared" si="3"/>
        <v>55.495103373231771</v>
      </c>
      <c r="L46" s="62">
        <f t="shared" si="3"/>
        <v>53.010518679724342</v>
      </c>
    </row>
    <row r="47" spans="2:12" ht="18.95" customHeight="1" x14ac:dyDescent="0.25">
      <c r="B47" s="21" t="s">
        <v>313</v>
      </c>
      <c r="C47" s="22" t="s">
        <v>314</v>
      </c>
      <c r="D47" s="62">
        <f t="shared" ref="D47:L47" si="4">IF(D10="","",D10/$D10*100)</f>
        <v>100</v>
      </c>
      <c r="E47" s="62">
        <f t="shared" si="4"/>
        <v>88.242862530224713</v>
      </c>
      <c r="F47" s="62">
        <f t="shared" si="4"/>
        <v>67.30850285055125</v>
      </c>
      <c r="G47" s="62">
        <f t="shared" si="4"/>
        <v>81.237383260498248</v>
      </c>
      <c r="H47" s="62">
        <f t="shared" si="4"/>
        <v>84.389627099092706</v>
      </c>
      <c r="I47" s="62">
        <f t="shared" si="4"/>
        <v>81.927283213913356</v>
      </c>
      <c r="J47" s="62">
        <f t="shared" si="4"/>
        <v>60.161050600057678</v>
      </c>
      <c r="K47" s="62">
        <f t="shared" si="4"/>
        <v>51.081434814436875</v>
      </c>
      <c r="L47" s="62">
        <f t="shared" si="4"/>
        <v>54.069522394019387</v>
      </c>
    </row>
    <row r="48" spans="2:12" ht="18.95" customHeight="1" x14ac:dyDescent="0.25">
      <c r="B48" s="21" t="s">
        <v>315</v>
      </c>
      <c r="C48" s="22" t="s">
        <v>316</v>
      </c>
      <c r="D48" s="62">
        <f t="shared" ref="D48:L48" si="5">IF(D11="","",D11/$D11*100)</f>
        <v>100</v>
      </c>
      <c r="E48" s="62">
        <f t="shared" si="5"/>
        <v>95.576311197783028</v>
      </c>
      <c r="F48" s="62">
        <f t="shared" si="5"/>
        <v>81.617571589859381</v>
      </c>
      <c r="G48" s="62">
        <f t="shared" si="5"/>
        <v>77.599302063019607</v>
      </c>
      <c r="H48" s="62">
        <f t="shared" si="5"/>
        <v>50.6312224160936</v>
      </c>
      <c r="I48" s="62">
        <f t="shared" si="5"/>
        <v>28.317766601662729</v>
      </c>
      <c r="J48" s="62">
        <f t="shared" si="5"/>
        <v>21.405111362003488</v>
      </c>
      <c r="K48" s="62">
        <f t="shared" si="5"/>
        <v>20.59940470081084</v>
      </c>
      <c r="L48" s="62">
        <f t="shared" si="5"/>
        <v>22.010674330288413</v>
      </c>
    </row>
    <row r="49" spans="2:14" ht="18.95" customHeight="1" x14ac:dyDescent="0.25">
      <c r="B49" s="21" t="s">
        <v>317</v>
      </c>
      <c r="C49" s="22" t="s">
        <v>318</v>
      </c>
      <c r="D49" s="62">
        <f t="shared" ref="D49:L49" si="6">IF(D12="","",D12/$D12*100)</f>
        <v>100</v>
      </c>
      <c r="E49" s="62">
        <f t="shared" si="6"/>
        <v>101.03605470368835</v>
      </c>
      <c r="F49" s="62">
        <f t="shared" si="6"/>
        <v>84.003315375051798</v>
      </c>
      <c r="G49" s="62">
        <f t="shared" si="6"/>
        <v>97.016162453377547</v>
      </c>
      <c r="H49" s="62">
        <f t="shared" si="6"/>
        <v>96.871114794861171</v>
      </c>
      <c r="I49" s="62">
        <f t="shared" si="6"/>
        <v>58.019063406547865</v>
      </c>
      <c r="J49" s="62">
        <f t="shared" si="6"/>
        <v>61.023622047244096</v>
      </c>
      <c r="K49" s="62">
        <f t="shared" si="6"/>
        <v>45.0891007045172</v>
      </c>
      <c r="L49" s="62">
        <f t="shared" si="6"/>
        <v>42.043099875673434</v>
      </c>
    </row>
    <row r="50" spans="2:14" ht="18.95" customHeight="1" x14ac:dyDescent="0.25">
      <c r="B50" s="21" t="s">
        <v>319</v>
      </c>
      <c r="C50" s="22" t="s">
        <v>320</v>
      </c>
      <c r="D50" s="62">
        <f t="shared" ref="D50:L50" si="7">IF(D13="","",D13/$D13*100)</f>
        <v>100</v>
      </c>
      <c r="E50" s="62">
        <f t="shared" si="7"/>
        <v>98.961424332344222</v>
      </c>
      <c r="F50" s="62">
        <f t="shared" si="7"/>
        <v>65.180574654411231</v>
      </c>
      <c r="G50" s="62">
        <f t="shared" si="7"/>
        <v>62.73793153361801</v>
      </c>
      <c r="H50" s="62">
        <f t="shared" si="7"/>
        <v>55.920243178692921</v>
      </c>
      <c r="I50" s="62">
        <f t="shared" si="7"/>
        <v>32.687993052037342</v>
      </c>
      <c r="J50" s="62">
        <f t="shared" si="7"/>
        <v>28.103061446044723</v>
      </c>
      <c r="K50" s="62">
        <f t="shared" si="7"/>
        <v>22.783527538539481</v>
      </c>
      <c r="L50" s="62">
        <f t="shared" si="7"/>
        <v>21.006730838821742</v>
      </c>
    </row>
    <row r="51" spans="2:14" ht="18.95" customHeight="1" x14ac:dyDescent="0.25">
      <c r="B51" s="21" t="s">
        <v>321</v>
      </c>
      <c r="C51" s="22" t="s">
        <v>322</v>
      </c>
      <c r="D51" s="62">
        <f t="shared" ref="D51:L51" si="8">IF(D14="","",D14/$D14*100)</f>
        <v>100</v>
      </c>
      <c r="E51" s="62">
        <f t="shared" si="8"/>
        <v>97.700504767246215</v>
      </c>
      <c r="F51" s="62">
        <f t="shared" si="8"/>
        <v>133.63245466442325</v>
      </c>
      <c r="G51" s="62">
        <f t="shared" si="8"/>
        <v>125.96747055524398</v>
      </c>
      <c r="H51" s="62">
        <f t="shared" si="8"/>
        <v>103.94466255374837</v>
      </c>
      <c r="I51" s="62">
        <f t="shared" si="8"/>
        <v>101.47691157225648</v>
      </c>
      <c r="J51" s="62">
        <f t="shared" si="8"/>
        <v>97.08356702187325</v>
      </c>
      <c r="K51" s="62">
        <f t="shared" si="8"/>
        <v>87.137782763133302</v>
      </c>
      <c r="L51" s="62">
        <f t="shared" si="8"/>
        <v>95.961862030286042</v>
      </c>
    </row>
    <row r="52" spans="2:14" ht="18.95" customHeight="1" x14ac:dyDescent="0.25">
      <c r="B52" s="21" t="s">
        <v>323</v>
      </c>
      <c r="C52" s="22" t="s">
        <v>324</v>
      </c>
      <c r="D52" s="62">
        <f t="shared" ref="D52:L52" si="9">IF(D15="","",D15/$D15*100)</f>
        <v>100</v>
      </c>
      <c r="E52" s="62">
        <f t="shared" si="9"/>
        <v>95.906432748538009</v>
      </c>
      <c r="F52" s="62">
        <f t="shared" si="9"/>
        <v>95.614035087719301</v>
      </c>
      <c r="G52" s="62">
        <f t="shared" si="9"/>
        <v>111.54970760233918</v>
      </c>
      <c r="H52" s="62">
        <f t="shared" si="9"/>
        <v>96.198830409356731</v>
      </c>
      <c r="I52" s="62">
        <f t="shared" si="9"/>
        <v>104.09356725146199</v>
      </c>
      <c r="J52" s="62">
        <f t="shared" si="9"/>
        <v>109.21052631578947</v>
      </c>
      <c r="K52" s="62">
        <f t="shared" si="9"/>
        <v>116.81286549707602</v>
      </c>
      <c r="L52" s="62">
        <f t="shared" si="9"/>
        <v>108.18713450292398</v>
      </c>
    </row>
    <row r="53" spans="2:14" ht="18.95" customHeight="1" x14ac:dyDescent="0.25">
      <c r="B53" s="21" t="s">
        <v>325</v>
      </c>
      <c r="C53" s="22" t="s">
        <v>326</v>
      </c>
      <c r="D53" s="62">
        <f t="shared" ref="D53:L53" si="10">IF(D16="","",D16/$D16*100)</f>
        <v>100</v>
      </c>
      <c r="E53" s="62">
        <f t="shared" si="10"/>
        <v>82.589868002295603</v>
      </c>
      <c r="F53" s="62">
        <f t="shared" si="10"/>
        <v>52.162571085720245</v>
      </c>
      <c r="G53" s="62">
        <f t="shared" si="10"/>
        <v>77.273438722804826</v>
      </c>
      <c r="H53" s="62">
        <f t="shared" si="10"/>
        <v>72.285699379141235</v>
      </c>
      <c r="I53" s="62">
        <f t="shared" si="10"/>
        <v>64.892784473313498</v>
      </c>
      <c r="J53" s="62">
        <f t="shared" si="10"/>
        <v>63.338028903845156</v>
      </c>
      <c r="K53" s="62">
        <f t="shared" si="10"/>
        <v>64.856263369332709</v>
      </c>
      <c r="L53" s="62" t="str">
        <f t="shared" si="10"/>
        <v/>
      </c>
    </row>
    <row r="54" spans="2:14" ht="18.95" customHeight="1" x14ac:dyDescent="0.25">
      <c r="B54" s="56" t="s">
        <v>327</v>
      </c>
      <c r="C54" s="57" t="s">
        <v>328</v>
      </c>
      <c r="D54" s="61">
        <f t="shared" ref="D54:L54" si="11">IF(D17="","",D17/$D17*100)</f>
        <v>100</v>
      </c>
      <c r="E54" s="61">
        <f t="shared" si="11"/>
        <v>97.111595539532161</v>
      </c>
      <c r="F54" s="61">
        <f t="shared" si="11"/>
        <v>102.71233336128111</v>
      </c>
      <c r="G54" s="61">
        <f t="shared" si="11"/>
        <v>97.078058187306112</v>
      </c>
      <c r="H54" s="61">
        <f t="shared" si="11"/>
        <v>96.776222017271735</v>
      </c>
      <c r="I54" s="61">
        <f t="shared" si="11"/>
        <v>84.895614991196439</v>
      </c>
      <c r="J54" s="61">
        <f t="shared" si="11"/>
        <v>112.64358178921773</v>
      </c>
      <c r="K54" s="61">
        <f t="shared" si="11"/>
        <v>123.41745619183367</v>
      </c>
      <c r="L54" s="61">
        <f t="shared" si="11"/>
        <v>146.13482015594869</v>
      </c>
    </row>
    <row r="55" spans="2:14" ht="18.95" customHeight="1" x14ac:dyDescent="0.25">
      <c r="B55" s="56" t="s">
        <v>329</v>
      </c>
      <c r="C55" s="57" t="s">
        <v>330</v>
      </c>
      <c r="D55" s="61">
        <f t="shared" ref="D55:L55" si="12">IF(D18="","",D18/$D18*100)</f>
        <v>100</v>
      </c>
      <c r="E55" s="61">
        <f t="shared" si="12"/>
        <v>115.97550793209017</v>
      </c>
      <c r="F55" s="61">
        <f t="shared" si="12"/>
        <v>89.312552184803778</v>
      </c>
      <c r="G55" s="61">
        <f t="shared" si="12"/>
        <v>110.0751461174506</v>
      </c>
      <c r="H55" s="61">
        <f t="shared" si="12"/>
        <v>127.33092123573616</v>
      </c>
      <c r="I55" s="61">
        <f t="shared" si="12"/>
        <v>108.711383245199</v>
      </c>
      <c r="J55" s="61">
        <f t="shared" si="12"/>
        <v>179.04258279988866</v>
      </c>
      <c r="K55" s="61">
        <f t="shared" si="12"/>
        <v>166.46256610075145</v>
      </c>
      <c r="L55" s="61">
        <f t="shared" si="12"/>
        <v>145.39382131923185</v>
      </c>
    </row>
    <row r="56" spans="2:14" ht="19.7" customHeight="1" x14ac:dyDescent="0.25">
      <c r="B56" s="129" t="s">
        <v>334</v>
      </c>
      <c r="C56" s="83"/>
      <c r="D56" s="83"/>
      <c r="E56" s="83"/>
      <c r="F56" s="83"/>
      <c r="G56" s="83"/>
      <c r="H56" s="83"/>
      <c r="I56" s="83"/>
      <c r="J56" s="83"/>
      <c r="K56" s="83"/>
      <c r="L56" s="83"/>
      <c r="M56" s="83"/>
      <c r="N56" s="83"/>
    </row>
  </sheetData>
  <mergeCells count="3">
    <mergeCell ref="B56:N56"/>
    <mergeCell ref="B19:N19"/>
    <mergeCell ref="B1:M1"/>
  </mergeCells>
  <conditionalFormatting sqref="D45:L55">
    <cfRule type="colorScale" priority="3">
      <colorScale>
        <cfvo type="min"/>
        <cfvo type="num" val="100"/>
        <cfvo type="max"/>
        <color rgb="FFA9C1EE"/>
        <color rgb="FFFFFFFF"/>
        <color rgb="FFE9A7AF"/>
      </colorScale>
    </cfRule>
  </conditionalFormatting>
  <conditionalFormatting sqref="M8:N18">
    <cfRule type="expression" dxfId="1" priority="1">
      <formula>AND(ISNUMBER(M8),M8&lt;0)</formula>
    </cfRule>
    <cfRule type="expression" dxfId="0" priority="2">
      <formula>AND(ISNUMBER(M8),M8&gt;0)</formula>
    </cfRule>
  </conditionalFormatting>
  <hyperlinks>
    <hyperlink ref="N1" location="'Portada'!A1" display="← Portada" xr:uid="{00000000-0004-0000-07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20" max="16383" man="1"/>
  </rowBreaks>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9A16"/>
    <pageSetUpPr fitToPage="1"/>
  </sheetPr>
  <dimension ref="B1:U36"/>
  <sheetViews>
    <sheetView showGridLines="0" zoomScale="90" workbookViewId="0"/>
  </sheetViews>
  <sheetFormatPr baseColWidth="10" defaultColWidth="9.140625" defaultRowHeight="15" x14ac:dyDescent="0.25"/>
  <cols>
    <col min="1" max="1" width="2.42578125" customWidth="1"/>
    <col min="2" max="2" width="8" customWidth="1"/>
    <col min="3" max="3" width="24" customWidth="1"/>
    <col min="4" max="6" width="12" customWidth="1"/>
    <col min="7" max="7" width="13" customWidth="1"/>
    <col min="8" max="8" width="3" customWidth="1"/>
    <col min="9" max="16" width="10" customWidth="1"/>
    <col min="17" max="17" width="3" customWidth="1"/>
    <col min="18" max="19" width="8" customWidth="1"/>
    <col min="20" max="20" width="20" customWidth="1"/>
    <col min="21" max="21" width="10" customWidth="1"/>
  </cols>
  <sheetData>
    <row r="1" spans="2:21" ht="20.100000000000001" customHeight="1" x14ac:dyDescent="0.25">
      <c r="B1" s="116" t="s">
        <v>49</v>
      </c>
      <c r="C1" s="83"/>
      <c r="D1" s="83"/>
      <c r="E1" s="83"/>
      <c r="F1" s="83"/>
      <c r="G1" s="83"/>
      <c r="H1" s="83"/>
      <c r="I1" s="83"/>
      <c r="J1" s="83"/>
      <c r="K1" s="83"/>
      <c r="L1" s="83"/>
      <c r="M1" s="83"/>
      <c r="N1" s="83"/>
      <c r="O1" s="83"/>
      <c r="P1" s="14" t="s">
        <v>50</v>
      </c>
    </row>
    <row r="2" spans="2:21" ht="30" customHeight="1" x14ac:dyDescent="0.25">
      <c r="B2" s="15" t="s">
        <v>335</v>
      </c>
    </row>
    <row r="3" spans="2:21" ht="20.100000000000001" customHeight="1" x14ac:dyDescent="0.25">
      <c r="B3" s="16" t="s">
        <v>336</v>
      </c>
    </row>
    <row r="4" spans="2:21" ht="3" customHeight="1" x14ac:dyDescent="0.25">
      <c r="B4" s="2"/>
      <c r="C4" s="2"/>
      <c r="D4" s="2"/>
      <c r="E4" s="2"/>
      <c r="F4" s="2"/>
      <c r="G4" s="2"/>
      <c r="H4" s="2"/>
      <c r="I4" s="2"/>
      <c r="J4" s="2"/>
      <c r="K4" s="2"/>
      <c r="L4" s="2"/>
      <c r="M4" s="2"/>
      <c r="N4" s="2"/>
      <c r="O4" s="2"/>
      <c r="P4" s="2"/>
    </row>
    <row r="5" spans="2:21" ht="9.9499999999999993" customHeight="1" x14ac:dyDescent="0.25"/>
    <row r="6" spans="2:21" x14ac:dyDescent="0.25">
      <c r="B6" s="3" t="s">
        <v>337</v>
      </c>
      <c r="I6" s="3" t="s">
        <v>338</v>
      </c>
    </row>
    <row r="7" spans="2:21" ht="26.1" customHeight="1" x14ac:dyDescent="0.25">
      <c r="B7" s="138" t="s">
        <v>339</v>
      </c>
      <c r="C7" s="95"/>
      <c r="D7" s="95"/>
      <c r="E7" s="95"/>
      <c r="F7" s="141">
        <v>0.5</v>
      </c>
      <c r="G7" s="142"/>
      <c r="I7" s="137" t="s">
        <v>340</v>
      </c>
      <c r="J7" s="83"/>
      <c r="K7" s="17"/>
      <c r="L7" s="137" t="s">
        <v>341</v>
      </c>
      <c r="M7" s="83"/>
      <c r="N7" s="17"/>
      <c r="O7" s="137" t="s">
        <v>342</v>
      </c>
      <c r="P7" s="83"/>
    </row>
    <row r="8" spans="2:21" ht="39.950000000000003" customHeight="1" x14ac:dyDescent="0.25">
      <c r="B8" s="138" t="s">
        <v>343</v>
      </c>
      <c r="C8" s="95"/>
      <c r="D8" s="95"/>
      <c r="E8" s="95"/>
      <c r="F8" s="141">
        <v>0.5</v>
      </c>
      <c r="G8" s="142"/>
      <c r="I8" s="143">
        <f>D14</f>
        <v>0.48389447949095249</v>
      </c>
      <c r="J8" s="83"/>
      <c r="K8" s="63" t="s">
        <v>344</v>
      </c>
      <c r="L8" s="143">
        <f>E14</f>
        <v>0.4098659772294696</v>
      </c>
      <c r="M8" s="83"/>
      <c r="N8" s="17"/>
      <c r="O8" s="148">
        <f>F14</f>
        <v>-7.4028502261482885</v>
      </c>
      <c r="P8" s="83"/>
    </row>
    <row r="9" spans="2:21" ht="30" customHeight="1" x14ac:dyDescent="0.25">
      <c r="B9" s="138" t="s">
        <v>345</v>
      </c>
      <c r="C9" s="95"/>
      <c r="D9" s="95"/>
      <c r="E9" s="95"/>
      <c r="F9" s="147" t="s">
        <v>346</v>
      </c>
      <c r="G9" s="142"/>
      <c r="I9" s="145" t="s">
        <v>347</v>
      </c>
      <c r="J9" s="83"/>
      <c r="K9" s="83"/>
      <c r="L9" s="83"/>
      <c r="M9" s="83"/>
      <c r="N9" s="83"/>
      <c r="O9" s="139">
        <f>IF(grupo_sim="Total",-F14/100*$P$10,"n. a.")</f>
        <v>467002.73617937934</v>
      </c>
      <c r="P9" s="83"/>
    </row>
    <row r="10" spans="2:21" ht="18.95" customHeight="1" x14ac:dyDescent="0.25">
      <c r="B10" s="117" t="s">
        <v>348</v>
      </c>
      <c r="C10" s="83"/>
      <c r="D10" s="83"/>
      <c r="E10" s="83"/>
      <c r="F10" s="83"/>
      <c r="G10" s="83"/>
      <c r="I10" s="140" t="s">
        <v>349</v>
      </c>
      <c r="J10" s="83"/>
      <c r="K10" s="83"/>
      <c r="L10" s="83"/>
      <c r="M10" s="83"/>
      <c r="N10" s="83"/>
      <c r="O10" s="83"/>
      <c r="P10" s="64">
        <v>6308418</v>
      </c>
    </row>
    <row r="12" spans="2:21" x14ac:dyDescent="0.25">
      <c r="B12" s="3" t="s">
        <v>350</v>
      </c>
      <c r="I12" s="3" t="s">
        <v>351</v>
      </c>
    </row>
    <row r="13" spans="2:21" ht="36" customHeight="1" x14ac:dyDescent="0.25">
      <c r="B13" s="20" t="s">
        <v>96</v>
      </c>
      <c r="C13" s="20" t="s">
        <v>83</v>
      </c>
      <c r="D13" s="20" t="s">
        <v>340</v>
      </c>
      <c r="E13" s="20" t="s">
        <v>341</v>
      </c>
      <c r="F13" s="20" t="s">
        <v>352</v>
      </c>
      <c r="G13" s="20" t="s">
        <v>353</v>
      </c>
      <c r="R13" s="26" t="s">
        <v>354</v>
      </c>
      <c r="S13" s="26" t="s">
        <v>82</v>
      </c>
      <c r="T13" s="26" t="s">
        <v>355</v>
      </c>
      <c r="U13" s="26" t="s">
        <v>356</v>
      </c>
    </row>
    <row r="14" spans="2:21" ht="18.95" customHeight="1" x14ac:dyDescent="0.25">
      <c r="B14" s="65"/>
      <c r="C14" s="66" t="s">
        <v>357</v>
      </c>
      <c r="D14" s="67">
        <f>SUMIFS(Datos_escenarios!$E$8:$E$67,Datos_escenarios!$B$8:$B$67,grupo_sim,Datos_escenarios!$C$8:$C$67,0)</f>
        <v>0.48389447949095249</v>
      </c>
      <c r="E14" s="67">
        <f>(1-f_alumbrado)*(1-f_parques)*D14+f_alumbrado*(1-f_parques)*SUMIFS(Datos_escenarios!$F$8:$F$67,Datos_escenarios!$B$8:$B$67,grupo_sim,Datos_escenarios!$C$8:$C$67,0)+(1-f_alumbrado)*f_parques*SUMIFS(Datos_escenarios!$G$8:$G$67,Datos_escenarios!$B$8:$B$67,grupo_sim,Datos_escenarios!$C$8:$C$67,0)+f_alumbrado*f_parques*SUMIFS(Datos_escenarios!$H$8:$H$67,Datos_escenarios!$B$8:$B$67,grupo_sim,Datos_escenarios!$C$8:$C$67,0)</f>
        <v>0.4098659772294696</v>
      </c>
      <c r="F14" s="68">
        <f t="shared" ref="F14:F33" si="0">(E14-D14)*100</f>
        <v>-7.4028502261482885</v>
      </c>
      <c r="G14" s="67">
        <f>SUMIFS(Datos_escenarios!$I$8:$I$67,Datos_escenarios!$B$8:$B$67,grupo_sim,Datos_escenarios!$C$8:$C$67,0)</f>
        <v>0.48389447949095371</v>
      </c>
    </row>
    <row r="15" spans="2:21" ht="18.95" customHeight="1" x14ac:dyDescent="0.25">
      <c r="B15" s="21">
        <v>1</v>
      </c>
      <c r="C15" s="22" t="s">
        <v>120</v>
      </c>
      <c r="D15" s="24">
        <f>SUMIFS(Datos_escenarios!$E$8:$E$67,Datos_escenarios!$B$8:$B$67,grupo_sim,Datos_escenarios!$C$8:$C$67,$B15)</f>
        <v>0.32590431261282271</v>
      </c>
      <c r="E15" s="24">
        <f>(1-f_alumbrado)*(1-f_parques)*D15+f_alumbrado*(1-f_parques)*SUMIFS(Datos_escenarios!$F$8:$F$67,Datos_escenarios!$B$8:$B$67,grupo_sim,Datos_escenarios!$C$8:$C$67,$B15)+(1-f_alumbrado)*f_parques*SUMIFS(Datos_escenarios!$G$8:$G$67,Datos_escenarios!$B$8:$B$67,grupo_sim,Datos_escenarios!$C$8:$C$67,$B15)+f_alumbrado*f_parques*SUMIFS(Datos_escenarios!$H$8:$H$67,Datos_escenarios!$B$8:$B$67,grupo_sim,Datos_escenarios!$C$8:$C$67,$B15)</f>
        <v>0.25742810914105713</v>
      </c>
      <c r="F15" s="69">
        <f t="shared" si="0"/>
        <v>-6.8476203471765587</v>
      </c>
      <c r="G15" s="24">
        <f>SUMIFS(Datos_escenarios!$I$8:$I$67,Datos_escenarios!$B$8:$B$67,grupo_sim,Datos_escenarios!$C$8:$C$67,$B15)</f>
        <v>0.248209718368572</v>
      </c>
      <c r="R15" s="70">
        <f t="shared" ref="R15:R33" si="1">F15+B15/10000000</f>
        <v>-6.8476202471765584</v>
      </c>
      <c r="S15" s="71">
        <v>1</v>
      </c>
      <c r="T15" s="72" t="str">
        <f t="shared" ref="T15:T33" si="2">INDEX($C$15:$C$33,MATCH(SMALL($R$15:$R$33,S15),$R$15:$R$33,0))</f>
        <v>La Candelaria</v>
      </c>
      <c r="U15" s="73">
        <f t="shared" ref="U15:U33" si="3">INDEX($F$15:$F$33,MATCH(SMALL($R$15:$R$33,S15),$R$15:$R$33,0))</f>
        <v>-11.673064044083031</v>
      </c>
    </row>
    <row r="16" spans="2:21" ht="18.95" customHeight="1" x14ac:dyDescent="0.25">
      <c r="B16" s="21">
        <v>2</v>
      </c>
      <c r="C16" s="22" t="s">
        <v>121</v>
      </c>
      <c r="D16" s="24">
        <f>SUMIFS(Datos_escenarios!$E$8:$E$67,Datos_escenarios!$B$8:$B$67,grupo_sim,Datos_escenarios!$C$8:$C$67,$B16)</f>
        <v>0.40470974276953048</v>
      </c>
      <c r="E16" s="24">
        <f>(1-f_alumbrado)*(1-f_parques)*D16+f_alumbrado*(1-f_parques)*SUMIFS(Datos_escenarios!$F$8:$F$67,Datos_escenarios!$B$8:$B$67,grupo_sim,Datos_escenarios!$C$8:$C$67,$B16)+(1-f_alumbrado)*f_parques*SUMIFS(Datos_escenarios!$G$8:$G$67,Datos_escenarios!$B$8:$B$67,grupo_sim,Datos_escenarios!$C$8:$C$67,$B16)+f_alumbrado*f_parques*SUMIFS(Datos_escenarios!$H$8:$H$67,Datos_escenarios!$B$8:$B$67,grupo_sim,Datos_escenarios!$C$8:$C$67,$B16)</f>
        <v>0.33360004658589948</v>
      </c>
      <c r="F16" s="69">
        <f t="shared" si="0"/>
        <v>-7.1109696183631002</v>
      </c>
      <c r="G16" s="24">
        <f>SUMIFS(Datos_escenarios!$I$8:$I$67,Datos_escenarios!$B$8:$B$67,grupo_sim,Datos_escenarios!$C$8:$C$67,$B16)</f>
        <v>0.50505065400726801</v>
      </c>
      <c r="R16" s="70">
        <f t="shared" si="1"/>
        <v>-7.1109694183631005</v>
      </c>
      <c r="S16" s="71">
        <v>2</v>
      </c>
      <c r="T16" s="72" t="str">
        <f t="shared" si="2"/>
        <v>Tunjuelito</v>
      </c>
      <c r="U16" s="73">
        <f t="shared" si="3"/>
        <v>-10.675820005655357</v>
      </c>
    </row>
    <row r="17" spans="2:21" ht="18.95" customHeight="1" x14ac:dyDescent="0.25">
      <c r="B17" s="21">
        <v>3</v>
      </c>
      <c r="C17" s="22" t="s">
        <v>122</v>
      </c>
      <c r="D17" s="24">
        <f>SUMIFS(Datos_escenarios!$E$8:$E$67,Datos_escenarios!$B$8:$B$67,grupo_sim,Datos_escenarios!$C$8:$C$67,$B17)</f>
        <v>0.64535982095416022</v>
      </c>
      <c r="E17" s="24">
        <f>(1-f_alumbrado)*(1-f_parques)*D17+f_alumbrado*(1-f_parques)*SUMIFS(Datos_escenarios!$F$8:$F$67,Datos_escenarios!$B$8:$B$67,grupo_sim,Datos_escenarios!$C$8:$C$67,$B17)+(1-f_alumbrado)*f_parques*SUMIFS(Datos_escenarios!$G$8:$G$67,Datos_escenarios!$B$8:$B$67,grupo_sim,Datos_escenarios!$C$8:$C$67,$B17)+f_alumbrado*f_parques*SUMIFS(Datos_escenarios!$H$8:$H$67,Datos_escenarios!$B$8:$B$67,grupo_sim,Datos_escenarios!$C$8:$C$67,$B17)</f>
        <v>0.55355053964846179</v>
      </c>
      <c r="F17" s="69">
        <f t="shared" si="0"/>
        <v>-9.1809281305698427</v>
      </c>
      <c r="G17" s="24">
        <f>SUMIFS(Datos_escenarios!$I$8:$I$67,Datos_escenarios!$B$8:$B$67,grupo_sim,Datos_escenarios!$C$8:$C$67,$B17)</f>
        <v>0.58063904999986116</v>
      </c>
      <c r="R17" s="70">
        <f t="shared" si="1"/>
        <v>-9.1809278305698427</v>
      </c>
      <c r="S17" s="71">
        <v>3</v>
      </c>
      <c r="T17" s="72" t="str">
        <f t="shared" si="2"/>
        <v>Ciudad Bolívar</v>
      </c>
      <c r="U17" s="73">
        <f t="shared" si="3"/>
        <v>-10.216964346345703</v>
      </c>
    </row>
    <row r="18" spans="2:21" ht="18.95" customHeight="1" x14ac:dyDescent="0.25">
      <c r="B18" s="21">
        <v>4</v>
      </c>
      <c r="C18" s="22" t="s">
        <v>123</v>
      </c>
      <c r="D18" s="24">
        <f>SUMIFS(Datos_escenarios!$E$8:$E$67,Datos_escenarios!$B$8:$B$67,grupo_sim,Datos_escenarios!$C$8:$C$67,$B18)</f>
        <v>0.51234962675957318</v>
      </c>
      <c r="E18" s="24">
        <f>(1-f_alumbrado)*(1-f_parques)*D18+f_alumbrado*(1-f_parques)*SUMIFS(Datos_escenarios!$F$8:$F$67,Datos_escenarios!$B$8:$B$67,grupo_sim,Datos_escenarios!$C$8:$C$67,$B18)+(1-f_alumbrado)*f_parques*SUMIFS(Datos_escenarios!$G$8:$G$67,Datos_escenarios!$B$8:$B$67,grupo_sim,Datos_escenarios!$C$8:$C$67,$B18)+f_alumbrado*f_parques*SUMIFS(Datos_escenarios!$H$8:$H$67,Datos_escenarios!$B$8:$B$67,grupo_sim,Datos_escenarios!$C$8:$C$67,$B18)</f>
        <v>0.44015379339175836</v>
      </c>
      <c r="F18" s="69">
        <f t="shared" si="0"/>
        <v>-7.2195833367814819</v>
      </c>
      <c r="G18" s="24">
        <f>SUMIFS(Datos_escenarios!$I$8:$I$67,Datos_escenarios!$B$8:$B$67,grupo_sim,Datos_escenarios!$C$8:$C$67,$B18)</f>
        <v>0.55734340719220932</v>
      </c>
      <c r="R18" s="70">
        <f t="shared" si="1"/>
        <v>-7.2195829367814817</v>
      </c>
      <c r="S18" s="71">
        <v>4</v>
      </c>
      <c r="T18" s="72" t="str">
        <f t="shared" si="2"/>
        <v>Santa Fe</v>
      </c>
      <c r="U18" s="73">
        <f t="shared" si="3"/>
        <v>-9.1809281305698427</v>
      </c>
    </row>
    <row r="19" spans="2:21" ht="18.95" customHeight="1" x14ac:dyDescent="0.25">
      <c r="B19" s="21">
        <v>5</v>
      </c>
      <c r="C19" s="22" t="s">
        <v>124</v>
      </c>
      <c r="D19" s="24">
        <f>SUMIFS(Datos_escenarios!$E$8:$E$67,Datos_escenarios!$B$8:$B$67,grupo_sim,Datos_escenarios!$C$8:$C$67,$B19)</f>
        <v>0.56862949695878473</v>
      </c>
      <c r="E19" s="24">
        <f>(1-f_alumbrado)*(1-f_parques)*D19+f_alumbrado*(1-f_parques)*SUMIFS(Datos_escenarios!$F$8:$F$67,Datos_escenarios!$B$8:$B$67,grupo_sim,Datos_escenarios!$C$8:$C$67,$B19)+(1-f_alumbrado)*f_parques*SUMIFS(Datos_escenarios!$G$8:$G$67,Datos_escenarios!$B$8:$B$67,grupo_sim,Datos_escenarios!$C$8:$C$67,$B19)+f_alumbrado*f_parques*SUMIFS(Datos_escenarios!$H$8:$H$67,Datos_escenarios!$B$8:$B$67,grupo_sim,Datos_escenarios!$C$8:$C$67,$B19)</f>
        <v>0.47702184268206715</v>
      </c>
      <c r="F19" s="69">
        <f t="shared" si="0"/>
        <v>-9.1607654276717572</v>
      </c>
      <c r="G19" s="24">
        <f>SUMIFS(Datos_escenarios!$I$8:$I$67,Datos_escenarios!$B$8:$B$67,grupo_sim,Datos_escenarios!$C$8:$C$67,$B19)</f>
        <v>0.64641785456913581</v>
      </c>
      <c r="R19" s="70">
        <f t="shared" si="1"/>
        <v>-9.1607649276717567</v>
      </c>
      <c r="S19" s="71">
        <v>5</v>
      </c>
      <c r="T19" s="72" t="str">
        <f t="shared" si="2"/>
        <v>Usme</v>
      </c>
      <c r="U19" s="73">
        <f t="shared" si="3"/>
        <v>-9.1607654276717572</v>
      </c>
    </row>
    <row r="20" spans="2:21" ht="18.95" customHeight="1" x14ac:dyDescent="0.25">
      <c r="B20" s="21">
        <v>6</v>
      </c>
      <c r="C20" s="22" t="s">
        <v>125</v>
      </c>
      <c r="D20" s="24">
        <f>SUMIFS(Datos_escenarios!$E$8:$E$67,Datos_escenarios!$B$8:$B$67,grupo_sim,Datos_escenarios!$C$8:$C$67,$B20)</f>
        <v>0.50741372266285201</v>
      </c>
      <c r="E20" s="24">
        <f>(1-f_alumbrado)*(1-f_parques)*D20+f_alumbrado*(1-f_parques)*SUMIFS(Datos_escenarios!$F$8:$F$67,Datos_escenarios!$B$8:$B$67,grupo_sim,Datos_escenarios!$C$8:$C$67,$B20)+(1-f_alumbrado)*f_parques*SUMIFS(Datos_escenarios!$G$8:$G$67,Datos_escenarios!$B$8:$B$67,grupo_sim,Datos_escenarios!$C$8:$C$67,$B20)+f_alumbrado*f_parques*SUMIFS(Datos_escenarios!$H$8:$H$67,Datos_escenarios!$B$8:$B$67,grupo_sim,Datos_escenarios!$C$8:$C$67,$B20)</f>
        <v>0.40065552260629844</v>
      </c>
      <c r="F20" s="69">
        <f t="shared" si="0"/>
        <v>-10.675820005655357</v>
      </c>
      <c r="G20" s="24">
        <f>SUMIFS(Datos_escenarios!$I$8:$I$67,Datos_escenarios!$B$8:$B$67,grupo_sim,Datos_escenarios!$C$8:$C$67,$B20)</f>
        <v>0.35985430295058157</v>
      </c>
      <c r="R20" s="70">
        <f t="shared" si="1"/>
        <v>-10.675819405655357</v>
      </c>
      <c r="S20" s="71">
        <v>6</v>
      </c>
      <c r="T20" s="72" t="str">
        <f t="shared" si="2"/>
        <v>Los Mártires</v>
      </c>
      <c r="U20" s="73">
        <f t="shared" si="3"/>
        <v>-9.0948904779112318</v>
      </c>
    </row>
    <row r="21" spans="2:21" ht="18.95" customHeight="1" x14ac:dyDescent="0.25">
      <c r="B21" s="21">
        <v>7</v>
      </c>
      <c r="C21" s="22" t="s">
        <v>126</v>
      </c>
      <c r="D21" s="24">
        <f>SUMIFS(Datos_escenarios!$E$8:$E$67,Datos_escenarios!$B$8:$B$67,grupo_sim,Datos_escenarios!$C$8:$C$67,$B21)</f>
        <v>0.55975085511553613</v>
      </c>
      <c r="E21" s="24">
        <f>(1-f_alumbrado)*(1-f_parques)*D21+f_alumbrado*(1-f_parques)*SUMIFS(Datos_escenarios!$F$8:$F$67,Datos_escenarios!$B$8:$B$67,grupo_sim,Datos_escenarios!$C$8:$C$67,$B21)+(1-f_alumbrado)*f_parques*SUMIFS(Datos_escenarios!$G$8:$G$67,Datos_escenarios!$B$8:$B$67,grupo_sim,Datos_escenarios!$C$8:$C$67,$B21)+f_alumbrado*f_parques*SUMIFS(Datos_escenarios!$H$8:$H$67,Datos_escenarios!$B$8:$B$67,grupo_sim,Datos_escenarios!$C$8:$C$67,$B21)</f>
        <v>0.47183027519301735</v>
      </c>
      <c r="F21" s="69">
        <f t="shared" si="0"/>
        <v>-8.7920579922518787</v>
      </c>
      <c r="G21" s="24">
        <f>SUMIFS(Datos_escenarios!$I$8:$I$67,Datos_escenarios!$B$8:$B$67,grupo_sim,Datos_escenarios!$C$8:$C$67,$B21)</f>
        <v>0.57061376678171205</v>
      </c>
      <c r="R21" s="70">
        <f t="shared" si="1"/>
        <v>-8.7920572922518794</v>
      </c>
      <c r="S21" s="71">
        <v>7</v>
      </c>
      <c r="T21" s="72" t="str">
        <f t="shared" si="2"/>
        <v>Bosa</v>
      </c>
      <c r="U21" s="73">
        <f t="shared" si="3"/>
        <v>-8.7920579922518787</v>
      </c>
    </row>
    <row r="22" spans="2:21" ht="18.95" customHeight="1" x14ac:dyDescent="0.25">
      <c r="B22" s="21">
        <v>8</v>
      </c>
      <c r="C22" s="22" t="s">
        <v>127</v>
      </c>
      <c r="D22" s="24">
        <f>SUMIFS(Datos_escenarios!$E$8:$E$67,Datos_escenarios!$B$8:$B$67,grupo_sim,Datos_escenarios!$C$8:$C$67,$B22)</f>
        <v>0.4909575772160204</v>
      </c>
      <c r="E22" s="24">
        <f>(1-f_alumbrado)*(1-f_parques)*D22+f_alumbrado*(1-f_parques)*SUMIFS(Datos_escenarios!$F$8:$F$67,Datos_escenarios!$B$8:$B$67,grupo_sim,Datos_escenarios!$C$8:$C$67,$B22)+(1-f_alumbrado)*f_parques*SUMIFS(Datos_escenarios!$G$8:$G$67,Datos_escenarios!$B$8:$B$67,grupo_sim,Datos_escenarios!$C$8:$C$67,$B22)+f_alumbrado*f_parques*SUMIFS(Datos_escenarios!$H$8:$H$67,Datos_escenarios!$B$8:$B$67,grupo_sim,Datos_escenarios!$C$8:$C$67,$B22)</f>
        <v>0.41005657988122202</v>
      </c>
      <c r="F22" s="69">
        <f t="shared" si="0"/>
        <v>-8.090099733479839</v>
      </c>
      <c r="G22" s="24">
        <f>SUMIFS(Datos_escenarios!$I$8:$I$67,Datos_escenarios!$B$8:$B$67,grupo_sim,Datos_escenarios!$C$8:$C$67,$B22)</f>
        <v>0.58445401216823745</v>
      </c>
      <c r="R22" s="70">
        <f t="shared" si="1"/>
        <v>-8.0900989334798385</v>
      </c>
      <c r="S22" s="71">
        <v>8</v>
      </c>
      <c r="T22" s="72" t="str">
        <f t="shared" si="2"/>
        <v>Kennedy</v>
      </c>
      <c r="U22" s="73">
        <f t="shared" si="3"/>
        <v>-8.090099733479839</v>
      </c>
    </row>
    <row r="23" spans="2:21" ht="18.95" customHeight="1" x14ac:dyDescent="0.25">
      <c r="B23" s="21">
        <v>9</v>
      </c>
      <c r="C23" s="22" t="s">
        <v>128</v>
      </c>
      <c r="D23" s="24">
        <f>SUMIFS(Datos_escenarios!$E$8:$E$67,Datos_escenarios!$B$8:$B$67,grupo_sim,Datos_escenarios!$C$8:$C$67,$B23)</f>
        <v>0.38406273931778911</v>
      </c>
      <c r="E23" s="24">
        <f>(1-f_alumbrado)*(1-f_parques)*D23+f_alumbrado*(1-f_parques)*SUMIFS(Datos_escenarios!$F$8:$F$67,Datos_escenarios!$B$8:$B$67,grupo_sim,Datos_escenarios!$C$8:$C$67,$B23)+(1-f_alumbrado)*f_parques*SUMIFS(Datos_escenarios!$G$8:$G$67,Datos_escenarios!$B$8:$B$67,grupo_sim,Datos_escenarios!$C$8:$C$67,$B23)+f_alumbrado*f_parques*SUMIFS(Datos_escenarios!$H$8:$H$67,Datos_escenarios!$B$8:$B$67,grupo_sim,Datos_escenarios!$C$8:$C$67,$B23)</f>
        <v>0.31862911437813135</v>
      </c>
      <c r="F23" s="69">
        <f t="shared" si="0"/>
        <v>-6.5433624939657768</v>
      </c>
      <c r="G23" s="24">
        <f>SUMIFS(Datos_escenarios!$I$8:$I$67,Datos_escenarios!$B$8:$B$67,grupo_sim,Datos_escenarios!$C$8:$C$67,$B23)</f>
        <v>0.2708793323927241</v>
      </c>
      <c r="R23" s="70">
        <f t="shared" si="1"/>
        <v>-6.543361593965777</v>
      </c>
      <c r="S23" s="71">
        <v>9</v>
      </c>
      <c r="T23" s="72" t="str">
        <f t="shared" si="2"/>
        <v>Engativá</v>
      </c>
      <c r="U23" s="73">
        <f t="shared" si="3"/>
        <v>-7.4746900908895739</v>
      </c>
    </row>
    <row r="24" spans="2:21" ht="18.95" customHeight="1" x14ac:dyDescent="0.25">
      <c r="B24" s="21">
        <v>10</v>
      </c>
      <c r="C24" s="22" t="s">
        <v>129</v>
      </c>
      <c r="D24" s="24">
        <f>SUMIFS(Datos_escenarios!$E$8:$E$67,Datos_escenarios!$B$8:$B$67,grupo_sim,Datos_escenarios!$C$8:$C$67,$B24)</f>
        <v>0.47317426978422489</v>
      </c>
      <c r="E24" s="24">
        <f>(1-f_alumbrado)*(1-f_parques)*D24+f_alumbrado*(1-f_parques)*SUMIFS(Datos_escenarios!$F$8:$F$67,Datos_escenarios!$B$8:$B$67,grupo_sim,Datos_escenarios!$C$8:$C$67,$B24)+(1-f_alumbrado)*f_parques*SUMIFS(Datos_escenarios!$G$8:$G$67,Datos_escenarios!$B$8:$B$67,grupo_sim,Datos_escenarios!$C$8:$C$67,$B24)+f_alumbrado*f_parques*SUMIFS(Datos_escenarios!$H$8:$H$67,Datos_escenarios!$B$8:$B$67,grupo_sim,Datos_escenarios!$C$8:$C$67,$B24)</f>
        <v>0.39842736887532915</v>
      </c>
      <c r="F24" s="69">
        <f t="shared" si="0"/>
        <v>-7.4746900908895739</v>
      </c>
      <c r="G24" s="24">
        <f>SUMIFS(Datos_escenarios!$I$8:$I$67,Datos_escenarios!$B$8:$B$67,grupo_sim,Datos_escenarios!$C$8:$C$67,$B24)</f>
        <v>0.49392230255605363</v>
      </c>
      <c r="R24" s="70">
        <f t="shared" si="1"/>
        <v>-7.4746890908895738</v>
      </c>
      <c r="S24" s="71">
        <v>10</v>
      </c>
      <c r="T24" s="72" t="str">
        <f t="shared" si="2"/>
        <v>Antonio Nariño</v>
      </c>
      <c r="U24" s="73">
        <f t="shared" si="3"/>
        <v>-7.2398277853183091</v>
      </c>
    </row>
    <row r="25" spans="2:21" ht="18.95" customHeight="1" x14ac:dyDescent="0.25">
      <c r="B25" s="21">
        <v>11</v>
      </c>
      <c r="C25" s="22" t="s">
        <v>130</v>
      </c>
      <c r="D25" s="24">
        <f>SUMIFS(Datos_escenarios!$E$8:$E$67,Datos_escenarios!$B$8:$B$67,grupo_sim,Datos_escenarios!$C$8:$C$67,$B25)</f>
        <v>0.45139816159083068</v>
      </c>
      <c r="E25" s="24">
        <f>(1-f_alumbrado)*(1-f_parques)*D25+f_alumbrado*(1-f_parques)*SUMIFS(Datos_escenarios!$F$8:$F$67,Datos_escenarios!$B$8:$B$67,grupo_sim,Datos_escenarios!$C$8:$C$67,$B25)+(1-f_alumbrado)*f_parques*SUMIFS(Datos_escenarios!$G$8:$G$67,Datos_escenarios!$B$8:$B$67,grupo_sim,Datos_escenarios!$C$8:$C$67,$B25)+f_alumbrado*f_parques*SUMIFS(Datos_escenarios!$H$8:$H$67,Datos_escenarios!$B$8:$B$67,grupo_sim,Datos_escenarios!$C$8:$C$67,$B25)</f>
        <v>0.40057091274027712</v>
      </c>
      <c r="F25" s="69">
        <f t="shared" si="0"/>
        <v>-5.0827248850553559</v>
      </c>
      <c r="G25" s="24">
        <f>SUMIFS(Datos_escenarios!$I$8:$I$67,Datos_escenarios!$B$8:$B$67,grupo_sim,Datos_escenarios!$C$8:$C$67,$B25)</f>
        <v>0.40472663503935652</v>
      </c>
      <c r="R25" s="70">
        <f t="shared" si="1"/>
        <v>-5.0827237850553555</v>
      </c>
      <c r="S25" s="71">
        <v>11</v>
      </c>
      <c r="T25" s="72" t="str">
        <f t="shared" si="2"/>
        <v>San Cristóbal</v>
      </c>
      <c r="U25" s="73">
        <f t="shared" si="3"/>
        <v>-7.2195833367814819</v>
      </c>
    </row>
    <row r="26" spans="2:21" ht="18.95" customHeight="1" x14ac:dyDescent="0.25">
      <c r="B26" s="21">
        <v>12</v>
      </c>
      <c r="C26" s="22" t="s">
        <v>131</v>
      </c>
      <c r="D26" s="24">
        <f>SUMIFS(Datos_escenarios!$E$8:$E$67,Datos_escenarios!$B$8:$B$67,grupo_sim,Datos_escenarios!$C$8:$C$67,$B26)</f>
        <v>0.42574606068908699</v>
      </c>
      <c r="E26" s="24">
        <f>(1-f_alumbrado)*(1-f_parques)*D26+f_alumbrado*(1-f_parques)*SUMIFS(Datos_escenarios!$F$8:$F$67,Datos_escenarios!$B$8:$B$67,grupo_sim,Datos_escenarios!$C$8:$C$67,$B26)+(1-f_alumbrado)*f_parques*SUMIFS(Datos_escenarios!$G$8:$G$67,Datos_escenarios!$B$8:$B$67,grupo_sim,Datos_escenarios!$C$8:$C$67,$B26)+f_alumbrado*f_parques*SUMIFS(Datos_escenarios!$H$8:$H$67,Datos_escenarios!$B$8:$B$67,grupo_sim,Datos_escenarios!$C$8:$C$67,$B26)</f>
        <v>0.36834410387009187</v>
      </c>
      <c r="F26" s="69">
        <f t="shared" si="0"/>
        <v>-5.7401956818995128</v>
      </c>
      <c r="G26" s="24">
        <f>SUMIFS(Datos_escenarios!$I$8:$I$67,Datos_escenarios!$B$8:$B$67,grupo_sim,Datos_escenarios!$C$8:$C$67,$B26)</f>
        <v>0.47263051557608132</v>
      </c>
      <c r="R26" s="70">
        <f t="shared" si="1"/>
        <v>-5.740194481899513</v>
      </c>
      <c r="S26" s="71">
        <v>12</v>
      </c>
      <c r="T26" s="72" t="str">
        <f t="shared" si="2"/>
        <v>Chapinero</v>
      </c>
      <c r="U26" s="73">
        <f t="shared" si="3"/>
        <v>-7.1109696183631002</v>
      </c>
    </row>
    <row r="27" spans="2:21" ht="18.95" customHeight="1" x14ac:dyDescent="0.25">
      <c r="B27" s="21">
        <v>13</v>
      </c>
      <c r="C27" s="22" t="s">
        <v>132</v>
      </c>
      <c r="D27" s="24">
        <f>SUMIFS(Datos_escenarios!$E$8:$E$67,Datos_escenarios!$B$8:$B$67,grupo_sim,Datos_escenarios!$C$8:$C$67,$B27)</f>
        <v>0.35012266872247438</v>
      </c>
      <c r="E27" s="24">
        <f>(1-f_alumbrado)*(1-f_parques)*D27+f_alumbrado*(1-f_parques)*SUMIFS(Datos_escenarios!$F$8:$F$67,Datos_escenarios!$B$8:$B$67,grupo_sim,Datos_escenarios!$C$8:$C$67,$B27)+(1-f_alumbrado)*f_parques*SUMIFS(Datos_escenarios!$G$8:$G$67,Datos_escenarios!$B$8:$B$67,grupo_sim,Datos_escenarios!$C$8:$C$67,$B27)+f_alumbrado*f_parques*SUMIFS(Datos_escenarios!$H$8:$H$67,Datos_escenarios!$B$8:$B$67,grupo_sim,Datos_escenarios!$C$8:$C$67,$B27)</f>
        <v>0.29133918735786085</v>
      </c>
      <c r="F27" s="69">
        <f t="shared" si="0"/>
        <v>-5.8783481364613532</v>
      </c>
      <c r="G27" s="24">
        <f>SUMIFS(Datos_escenarios!$I$8:$I$67,Datos_escenarios!$B$8:$B$67,grupo_sim,Datos_escenarios!$C$8:$C$67,$B27)</f>
        <v>0.37538181843024382</v>
      </c>
      <c r="R27" s="70">
        <f t="shared" si="1"/>
        <v>-5.8783468364613531</v>
      </c>
      <c r="S27" s="71">
        <v>13</v>
      </c>
      <c r="T27" s="72" t="str">
        <f t="shared" si="2"/>
        <v>Usaquén</v>
      </c>
      <c r="U27" s="73">
        <f t="shared" si="3"/>
        <v>-6.8476203471765587</v>
      </c>
    </row>
    <row r="28" spans="2:21" ht="18.95" customHeight="1" x14ac:dyDescent="0.25">
      <c r="B28" s="21">
        <v>14</v>
      </c>
      <c r="C28" s="22" t="s">
        <v>133</v>
      </c>
      <c r="D28" s="24">
        <f>SUMIFS(Datos_escenarios!$E$8:$E$67,Datos_escenarios!$B$8:$B$67,grupo_sim,Datos_escenarios!$C$8:$C$67,$B28)</f>
        <v>0.52337611484372393</v>
      </c>
      <c r="E28" s="24">
        <f>(1-f_alumbrado)*(1-f_parques)*D28+f_alumbrado*(1-f_parques)*SUMIFS(Datos_escenarios!$F$8:$F$67,Datos_escenarios!$B$8:$B$67,grupo_sim,Datos_escenarios!$C$8:$C$67,$B28)+(1-f_alumbrado)*f_parques*SUMIFS(Datos_escenarios!$G$8:$G$67,Datos_escenarios!$B$8:$B$67,grupo_sim,Datos_escenarios!$C$8:$C$67,$B28)+f_alumbrado*f_parques*SUMIFS(Datos_escenarios!$H$8:$H$67,Datos_escenarios!$B$8:$B$67,grupo_sim,Datos_escenarios!$C$8:$C$67,$B28)</f>
        <v>0.4324272100646116</v>
      </c>
      <c r="F28" s="69">
        <f t="shared" si="0"/>
        <v>-9.0948904779112318</v>
      </c>
      <c r="G28" s="24">
        <f>SUMIFS(Datos_escenarios!$I$8:$I$67,Datos_escenarios!$B$8:$B$67,grupo_sim,Datos_escenarios!$C$8:$C$67,$B28)</f>
        <v>0.39738312042184598</v>
      </c>
      <c r="R28" s="70">
        <f t="shared" si="1"/>
        <v>-9.0948890779112315</v>
      </c>
      <c r="S28" s="71">
        <v>14</v>
      </c>
      <c r="T28" s="72" t="str">
        <f t="shared" si="2"/>
        <v>Fontibón</v>
      </c>
      <c r="U28" s="73">
        <f t="shared" si="3"/>
        <v>-6.5433624939657768</v>
      </c>
    </row>
    <row r="29" spans="2:21" ht="18.95" customHeight="1" x14ac:dyDescent="0.25">
      <c r="B29" s="21">
        <v>15</v>
      </c>
      <c r="C29" s="22" t="s">
        <v>134</v>
      </c>
      <c r="D29" s="24">
        <f>SUMIFS(Datos_escenarios!$E$8:$E$67,Datos_escenarios!$B$8:$B$67,grupo_sim,Datos_escenarios!$C$8:$C$67,$B29)</f>
        <v>0.42112078146425552</v>
      </c>
      <c r="E29" s="24">
        <f>(1-f_alumbrado)*(1-f_parques)*D29+f_alumbrado*(1-f_parques)*SUMIFS(Datos_escenarios!$F$8:$F$67,Datos_escenarios!$B$8:$B$67,grupo_sim,Datos_escenarios!$C$8:$C$67,$B29)+(1-f_alumbrado)*f_parques*SUMIFS(Datos_escenarios!$G$8:$G$67,Datos_escenarios!$B$8:$B$67,grupo_sim,Datos_escenarios!$C$8:$C$67,$B29)+f_alumbrado*f_parques*SUMIFS(Datos_escenarios!$H$8:$H$67,Datos_escenarios!$B$8:$B$67,grupo_sim,Datos_escenarios!$C$8:$C$67,$B29)</f>
        <v>0.34872250361107243</v>
      </c>
      <c r="F29" s="69">
        <f t="shared" si="0"/>
        <v>-7.2398277853183091</v>
      </c>
      <c r="G29" s="24">
        <f>SUMIFS(Datos_escenarios!$I$8:$I$67,Datos_escenarios!$B$8:$B$67,grupo_sim,Datos_escenarios!$C$8:$C$67,$B29)</f>
        <v>0.49292850510122449</v>
      </c>
      <c r="R29" s="70">
        <f t="shared" si="1"/>
        <v>-7.2398262853183093</v>
      </c>
      <c r="S29" s="71">
        <v>15</v>
      </c>
      <c r="T29" s="72" t="str">
        <f t="shared" si="2"/>
        <v>Rafael Uribe Uribe</v>
      </c>
      <c r="U29" s="73">
        <f t="shared" si="3"/>
        <v>-6.3978062772182875</v>
      </c>
    </row>
    <row r="30" spans="2:21" ht="18.95" customHeight="1" x14ac:dyDescent="0.25">
      <c r="B30" s="21">
        <v>16</v>
      </c>
      <c r="C30" s="22" t="s">
        <v>135</v>
      </c>
      <c r="D30" s="24">
        <f>SUMIFS(Datos_escenarios!$E$8:$E$67,Datos_escenarios!$B$8:$B$67,grupo_sim,Datos_escenarios!$C$8:$C$67,$B30)</f>
        <v>0.4413586665388472</v>
      </c>
      <c r="E30" s="24">
        <f>(1-f_alumbrado)*(1-f_parques)*D30+f_alumbrado*(1-f_parques)*SUMIFS(Datos_escenarios!$F$8:$F$67,Datos_escenarios!$B$8:$B$67,grupo_sim,Datos_escenarios!$C$8:$C$67,$B30)+(1-f_alumbrado)*f_parques*SUMIFS(Datos_escenarios!$G$8:$G$67,Datos_escenarios!$B$8:$B$67,grupo_sim,Datos_escenarios!$C$8:$C$67,$B30)+f_alumbrado*f_parques*SUMIFS(Datos_escenarios!$H$8:$H$67,Datos_escenarios!$B$8:$B$67,grupo_sim,Datos_escenarios!$C$8:$C$67,$B30)</f>
        <v>0.38020182659443991</v>
      </c>
      <c r="F30" s="69">
        <f t="shared" si="0"/>
        <v>-6.1156839944407295</v>
      </c>
      <c r="G30" s="24">
        <f>SUMIFS(Datos_escenarios!$I$8:$I$67,Datos_escenarios!$B$8:$B$67,grupo_sim,Datos_escenarios!$C$8:$C$67,$B30)</f>
        <v>0.4517257906024511</v>
      </c>
      <c r="R30" s="70">
        <f t="shared" si="1"/>
        <v>-6.1156823944407295</v>
      </c>
      <c r="S30" s="71">
        <v>16</v>
      </c>
      <c r="T30" s="72" t="str">
        <f t="shared" si="2"/>
        <v>Puente Aranda</v>
      </c>
      <c r="U30" s="73">
        <f t="shared" si="3"/>
        <v>-6.1156839944407295</v>
      </c>
    </row>
    <row r="31" spans="2:21" ht="18.95" customHeight="1" x14ac:dyDescent="0.25">
      <c r="B31" s="21">
        <v>17</v>
      </c>
      <c r="C31" s="22" t="s">
        <v>136</v>
      </c>
      <c r="D31" s="24">
        <f>SUMIFS(Datos_escenarios!$E$8:$E$67,Datos_escenarios!$B$8:$B$67,grupo_sim,Datos_escenarios!$C$8:$C$67,$B31)</f>
        <v>0.4963659550873139</v>
      </c>
      <c r="E31" s="24">
        <f>(1-f_alumbrado)*(1-f_parques)*D31+f_alumbrado*(1-f_parques)*SUMIFS(Datos_escenarios!$F$8:$F$67,Datos_escenarios!$B$8:$B$67,grupo_sim,Datos_escenarios!$C$8:$C$67,$B31)+(1-f_alumbrado)*f_parques*SUMIFS(Datos_escenarios!$G$8:$G$67,Datos_escenarios!$B$8:$B$67,grupo_sim,Datos_escenarios!$C$8:$C$67,$B31)+f_alumbrado*f_parques*SUMIFS(Datos_escenarios!$H$8:$H$67,Datos_escenarios!$B$8:$B$67,grupo_sim,Datos_escenarios!$C$8:$C$67,$B31)</f>
        <v>0.37963531464648359</v>
      </c>
      <c r="F31" s="69">
        <f t="shared" si="0"/>
        <v>-11.673064044083031</v>
      </c>
      <c r="G31" s="24">
        <f>SUMIFS(Datos_escenarios!$I$8:$I$67,Datos_escenarios!$B$8:$B$67,grupo_sim,Datos_escenarios!$C$8:$C$67,$B31)</f>
        <v>0.61038163985095628</v>
      </c>
      <c r="R31" s="70">
        <f t="shared" si="1"/>
        <v>-11.67306234408303</v>
      </c>
      <c r="S31" s="71">
        <v>17</v>
      </c>
      <c r="T31" s="72" t="str">
        <f t="shared" si="2"/>
        <v>Teusaquillo</v>
      </c>
      <c r="U31" s="73">
        <f t="shared" si="3"/>
        <v>-5.8783481364613532</v>
      </c>
    </row>
    <row r="32" spans="2:21" ht="18.95" customHeight="1" x14ac:dyDescent="0.25">
      <c r="B32" s="21">
        <v>18</v>
      </c>
      <c r="C32" s="22" t="s">
        <v>137</v>
      </c>
      <c r="D32" s="24">
        <f>SUMIFS(Datos_escenarios!$E$8:$E$67,Datos_escenarios!$B$8:$B$67,grupo_sim,Datos_escenarios!$C$8:$C$67,$B32)</f>
        <v>0.50943385916342931</v>
      </c>
      <c r="E32" s="24">
        <f>(1-f_alumbrado)*(1-f_parques)*D32+f_alumbrado*(1-f_parques)*SUMIFS(Datos_escenarios!$F$8:$F$67,Datos_escenarios!$B$8:$B$67,grupo_sim,Datos_escenarios!$C$8:$C$67,$B32)+(1-f_alumbrado)*f_parques*SUMIFS(Datos_escenarios!$G$8:$G$67,Datos_escenarios!$B$8:$B$67,grupo_sim,Datos_escenarios!$C$8:$C$67,$B32)+f_alumbrado*f_parques*SUMIFS(Datos_escenarios!$H$8:$H$67,Datos_escenarios!$B$8:$B$67,grupo_sim,Datos_escenarios!$C$8:$C$67,$B32)</f>
        <v>0.44545579639124644</v>
      </c>
      <c r="F32" s="69">
        <f t="shared" si="0"/>
        <v>-6.3978062772182875</v>
      </c>
      <c r="G32" s="24">
        <f>SUMIFS(Datos_escenarios!$I$8:$I$67,Datos_escenarios!$B$8:$B$67,grupo_sim,Datos_escenarios!$C$8:$C$67,$B32)</f>
        <v>0.49708091818111833</v>
      </c>
      <c r="R32" s="70">
        <f t="shared" si="1"/>
        <v>-6.3978044772182878</v>
      </c>
      <c r="S32" s="71">
        <v>18</v>
      </c>
      <c r="T32" s="72" t="str">
        <f t="shared" si="2"/>
        <v>Barrios Unidos</v>
      </c>
      <c r="U32" s="73">
        <f t="shared" si="3"/>
        <v>-5.7401956818995128</v>
      </c>
    </row>
    <row r="33" spans="2:21" ht="18.95" customHeight="1" x14ac:dyDescent="0.25">
      <c r="B33" s="21">
        <v>19</v>
      </c>
      <c r="C33" s="22" t="s">
        <v>138</v>
      </c>
      <c r="D33" s="24">
        <f>SUMIFS(Datos_escenarios!$E$8:$E$67,Datos_escenarios!$B$8:$B$67,grupo_sim,Datos_escenarios!$C$8:$C$67,$B33)</f>
        <v>0.66761074680905574</v>
      </c>
      <c r="E33" s="24">
        <f>(1-f_alumbrado)*(1-f_parques)*D33+f_alumbrado*(1-f_parques)*SUMIFS(Datos_escenarios!$F$8:$F$67,Datos_escenarios!$B$8:$B$67,grupo_sim,Datos_escenarios!$C$8:$C$67,$B33)+(1-f_alumbrado)*f_parques*SUMIFS(Datos_escenarios!$G$8:$G$67,Datos_escenarios!$B$8:$B$67,grupo_sim,Datos_escenarios!$C$8:$C$67,$B33)+f_alumbrado*f_parques*SUMIFS(Datos_escenarios!$H$8:$H$67,Datos_escenarios!$B$8:$B$67,grupo_sim,Datos_escenarios!$C$8:$C$67,$B33)</f>
        <v>0.56544110334559872</v>
      </c>
      <c r="F33" s="69">
        <f t="shared" si="0"/>
        <v>-10.216964346345703</v>
      </c>
      <c r="G33" s="24">
        <f>SUMIFS(Datos_escenarios!$I$8:$I$67,Datos_escenarios!$B$8:$B$67,grupo_sim,Datos_escenarios!$C$8:$C$67,$B33)</f>
        <v>0.65391229783080329</v>
      </c>
      <c r="R33" s="70">
        <f t="shared" si="1"/>
        <v>-10.216962446345702</v>
      </c>
      <c r="S33" s="71">
        <v>19</v>
      </c>
      <c r="T33" s="72" t="str">
        <f t="shared" si="2"/>
        <v>Suba</v>
      </c>
      <c r="U33" s="73">
        <f t="shared" si="3"/>
        <v>-5.0827248850553559</v>
      </c>
    </row>
    <row r="35" spans="2:21" ht="21.95" customHeight="1" x14ac:dyDescent="0.25">
      <c r="B35" s="146" t="s">
        <v>358</v>
      </c>
      <c r="C35" s="88"/>
      <c r="D35" s="88"/>
      <c r="E35" s="88"/>
      <c r="F35" s="88"/>
      <c r="G35" s="88"/>
      <c r="H35" s="88"/>
      <c r="I35" s="88"/>
      <c r="J35" s="88"/>
      <c r="K35" s="88"/>
      <c r="L35" s="88"/>
      <c r="M35" s="88"/>
      <c r="N35" s="88"/>
      <c r="O35" s="88"/>
      <c r="P35" s="88"/>
    </row>
    <row r="36" spans="2:21" ht="44.65" customHeight="1" x14ac:dyDescent="0.25">
      <c r="B36" s="144" t="s">
        <v>359</v>
      </c>
      <c r="C36" s="88"/>
      <c r="D36" s="88"/>
      <c r="E36" s="88"/>
      <c r="F36" s="88"/>
      <c r="G36" s="88"/>
      <c r="H36" s="88"/>
      <c r="I36" s="88"/>
      <c r="J36" s="88"/>
      <c r="K36" s="88"/>
      <c r="L36" s="88"/>
      <c r="M36" s="88"/>
      <c r="N36" s="88"/>
      <c r="O36" s="88"/>
      <c r="P36" s="88"/>
    </row>
  </sheetData>
  <mergeCells count="19">
    <mergeCell ref="B1:O1"/>
    <mergeCell ref="B36:P36"/>
    <mergeCell ref="I9:N9"/>
    <mergeCell ref="B35:P35"/>
    <mergeCell ref="I8:J8"/>
    <mergeCell ref="F9:G9"/>
    <mergeCell ref="O8:P8"/>
    <mergeCell ref="B8:E8"/>
    <mergeCell ref="O7:P7"/>
    <mergeCell ref="B9:E9"/>
    <mergeCell ref="L7:M7"/>
    <mergeCell ref="O9:P9"/>
    <mergeCell ref="I10:O10"/>
    <mergeCell ref="F7:G7"/>
    <mergeCell ref="B10:G10"/>
    <mergeCell ref="I7:J7"/>
    <mergeCell ref="B7:E7"/>
    <mergeCell ref="L8:M8"/>
    <mergeCell ref="F8:G8"/>
  </mergeCells>
  <conditionalFormatting sqref="F15:F33">
    <cfRule type="colorScale" priority="1">
      <colorScale>
        <cfvo type="min"/>
        <cfvo type="num" val="0"/>
        <color rgb="FFF0BF4F"/>
        <color rgb="FFFFFFFF"/>
      </colorScale>
    </cfRule>
  </conditionalFormatting>
  <dataValidations count="2">
    <dataValidation type="decimal" showInputMessage="1" showErrorMessage="1" errorTitle="Valor fuera de rango" error="Escribe un porcentaje entre 0 % y 100 %." promptTitle="Cobertura" prompt="Porcentaje entre 0 % y 100 %." sqref="F7:F8" xr:uid="{00000000-0002-0000-0800-000000000000}">
      <formula1>0</formula1>
      <formula2>1</formula2>
    </dataValidation>
    <dataValidation type="list" showErrorMessage="1" errorTitle="Grupo no válido" error="Elige Total, Mujeres u Hombres." sqref="F9" xr:uid="{00000000-0002-0000-0800-000001000000}">
      <formula1>"Total,Mujeres,Hombres"</formula1>
    </dataValidation>
  </dataValidations>
  <hyperlinks>
    <hyperlink ref="P1" location="'Portada'!A1" display="← Portada" xr:uid="{00000000-0004-0000-0800-000000000000}"/>
  </hyperlinks>
  <printOptions horizontalCentered="1"/>
  <pageMargins left="0.4" right="0.4" top="0.45" bottom="0.6" header="0.2" footer="0.3"/>
  <pageSetup orientation="landscape"/>
  <headerFooter>
    <oddFooter>&amp;L&amp;7 &amp;K4B4B4BEl miedo que no baja · The data squad · Bogotá DataJam 5&amp;R&amp;7 &amp;K4B4B4B&amp;A · &amp;P de &amp;N</oddFoot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B4B4B"/>
    <pageSetUpPr fitToPage="1"/>
  </sheetPr>
  <dimension ref="B1:I50"/>
  <sheetViews>
    <sheetView showGridLines="0" zoomScale="90" workbookViewId="0">
      <pane xSplit="3" ySplit="6" topLeftCell="D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17" customWidth="1"/>
    <col min="3" max="3" width="26" customWidth="1"/>
    <col min="4" max="4" width="30" customWidth="1"/>
    <col min="5" max="5" width="58" customWidth="1"/>
    <col min="6" max="6" width="18" customWidth="1"/>
    <col min="7" max="7" width="30" customWidth="1"/>
    <col min="8" max="8" width="18" customWidth="1"/>
    <col min="9" max="9" width="24" customWidth="1"/>
  </cols>
  <sheetData>
    <row r="1" spans="2:9" ht="20.100000000000001" customHeight="1" x14ac:dyDescent="0.25">
      <c r="B1" s="116" t="s">
        <v>49</v>
      </c>
      <c r="C1" s="83"/>
      <c r="D1" s="83"/>
      <c r="E1" s="83"/>
      <c r="F1" s="83"/>
      <c r="G1" s="83"/>
      <c r="H1" s="83"/>
      <c r="I1" s="14" t="s">
        <v>50</v>
      </c>
    </row>
    <row r="2" spans="2:9" ht="30" customHeight="1" x14ac:dyDescent="0.25">
      <c r="B2" s="15" t="s">
        <v>33</v>
      </c>
    </row>
    <row r="3" spans="2:9" ht="20.100000000000001" customHeight="1" x14ac:dyDescent="0.25">
      <c r="B3" s="16" t="s">
        <v>360</v>
      </c>
    </row>
    <row r="4" spans="2:9" ht="3" customHeight="1" x14ac:dyDescent="0.25">
      <c r="B4" s="2"/>
      <c r="C4" s="2"/>
      <c r="D4" s="2"/>
      <c r="E4" s="2"/>
      <c r="F4" s="2"/>
      <c r="G4" s="2"/>
      <c r="H4" s="2"/>
      <c r="I4" s="2"/>
    </row>
    <row r="5" spans="2:9" ht="9.9499999999999993" customHeight="1" x14ac:dyDescent="0.25"/>
    <row r="6" spans="2:9" ht="30" customHeight="1" x14ac:dyDescent="0.25">
      <c r="B6" s="20" t="s">
        <v>361</v>
      </c>
      <c r="C6" s="20" t="s">
        <v>210</v>
      </c>
      <c r="D6" s="20" t="s">
        <v>362</v>
      </c>
      <c r="E6" s="20" t="s">
        <v>363</v>
      </c>
      <c r="F6" s="20" t="s">
        <v>364</v>
      </c>
      <c r="G6" s="20" t="s">
        <v>365</v>
      </c>
      <c r="H6" s="20" t="s">
        <v>366</v>
      </c>
      <c r="I6" s="20" t="s">
        <v>367</v>
      </c>
    </row>
    <row r="7" spans="2:9" ht="33.75" customHeight="1" x14ac:dyDescent="0.25">
      <c r="B7" s="74" t="s">
        <v>368</v>
      </c>
      <c r="C7" s="75" t="s">
        <v>369</v>
      </c>
      <c r="D7" s="76" t="s">
        <v>370</v>
      </c>
      <c r="E7" s="74" t="s">
        <v>371</v>
      </c>
      <c r="F7" s="74" t="s">
        <v>372</v>
      </c>
      <c r="G7" s="74" t="s">
        <v>373</v>
      </c>
      <c r="H7" s="74" t="s">
        <v>305</v>
      </c>
      <c r="I7" s="74" t="s">
        <v>19</v>
      </c>
    </row>
    <row r="8" spans="2:9" ht="46.9" customHeight="1" x14ac:dyDescent="0.25">
      <c r="B8" s="74" t="s">
        <v>368</v>
      </c>
      <c r="C8" s="75" t="s">
        <v>374</v>
      </c>
      <c r="D8" s="76" t="s">
        <v>375</v>
      </c>
      <c r="E8" s="74" t="s">
        <v>376</v>
      </c>
      <c r="F8" s="74" t="s">
        <v>377</v>
      </c>
      <c r="G8" s="74" t="s">
        <v>378</v>
      </c>
      <c r="H8" s="74" t="s">
        <v>305</v>
      </c>
      <c r="I8" s="74" t="s">
        <v>379</v>
      </c>
    </row>
    <row r="9" spans="2:9" ht="33.75" customHeight="1" x14ac:dyDescent="0.25">
      <c r="B9" s="74" t="s">
        <v>368</v>
      </c>
      <c r="C9" s="75" t="s">
        <v>380</v>
      </c>
      <c r="D9" s="76" t="s">
        <v>381</v>
      </c>
      <c r="E9" s="74" t="s">
        <v>382</v>
      </c>
      <c r="F9" s="74" t="s">
        <v>377</v>
      </c>
      <c r="G9" s="74" t="s">
        <v>378</v>
      </c>
      <c r="H9" s="74" t="s">
        <v>305</v>
      </c>
      <c r="I9" s="74" t="s">
        <v>383</v>
      </c>
    </row>
    <row r="10" spans="2:9" ht="33.75" customHeight="1" x14ac:dyDescent="0.25">
      <c r="B10" s="74" t="s">
        <v>368</v>
      </c>
      <c r="C10" s="75" t="s">
        <v>384</v>
      </c>
      <c r="D10" s="76" t="s">
        <v>385</v>
      </c>
      <c r="E10" s="74" t="s">
        <v>386</v>
      </c>
      <c r="F10" s="74" t="s">
        <v>377</v>
      </c>
      <c r="G10" s="74" t="s">
        <v>378</v>
      </c>
      <c r="H10" s="74" t="s">
        <v>305</v>
      </c>
      <c r="I10" s="74" t="s">
        <v>19</v>
      </c>
    </row>
    <row r="11" spans="2:9" ht="33.75" customHeight="1" x14ac:dyDescent="0.25">
      <c r="B11" s="74" t="s">
        <v>368</v>
      </c>
      <c r="C11" s="75" t="s">
        <v>387</v>
      </c>
      <c r="D11" s="76" t="s">
        <v>388</v>
      </c>
      <c r="E11" s="74" t="s">
        <v>389</v>
      </c>
      <c r="F11" s="74" t="s">
        <v>377</v>
      </c>
      <c r="G11" s="74" t="s">
        <v>378</v>
      </c>
      <c r="H11" s="74" t="s">
        <v>305</v>
      </c>
      <c r="I11" s="74" t="s">
        <v>390</v>
      </c>
    </row>
    <row r="12" spans="2:9" ht="33.75" customHeight="1" x14ac:dyDescent="0.25">
      <c r="B12" s="74" t="s">
        <v>368</v>
      </c>
      <c r="C12" s="75" t="s">
        <v>391</v>
      </c>
      <c r="D12" s="76" t="s">
        <v>231</v>
      </c>
      <c r="E12" s="74" t="s">
        <v>392</v>
      </c>
      <c r="F12" s="74" t="s">
        <v>393</v>
      </c>
      <c r="G12" s="74" t="s">
        <v>378</v>
      </c>
      <c r="H12" s="74" t="s">
        <v>305</v>
      </c>
      <c r="I12" s="74" t="s">
        <v>394</v>
      </c>
    </row>
    <row r="13" spans="2:9" ht="33.75" customHeight="1" x14ac:dyDescent="0.25">
      <c r="B13" s="74" t="s">
        <v>368</v>
      </c>
      <c r="C13" s="75" t="s">
        <v>395</v>
      </c>
      <c r="D13" s="76" t="s">
        <v>225</v>
      </c>
      <c r="E13" s="74" t="s">
        <v>396</v>
      </c>
      <c r="F13" s="74" t="s">
        <v>393</v>
      </c>
      <c r="G13" s="74" t="s">
        <v>378</v>
      </c>
      <c r="H13" s="74" t="s">
        <v>305</v>
      </c>
      <c r="I13" s="74" t="s">
        <v>397</v>
      </c>
    </row>
    <row r="14" spans="2:9" ht="33.75" customHeight="1" x14ac:dyDescent="0.25">
      <c r="B14" s="74" t="s">
        <v>368</v>
      </c>
      <c r="C14" s="75" t="s">
        <v>398</v>
      </c>
      <c r="D14" s="76" t="s">
        <v>399</v>
      </c>
      <c r="E14" s="74" t="s">
        <v>400</v>
      </c>
      <c r="F14" s="74" t="s">
        <v>377</v>
      </c>
      <c r="G14" s="74" t="s">
        <v>378</v>
      </c>
      <c r="H14" s="74" t="s">
        <v>305</v>
      </c>
      <c r="I14" s="74" t="s">
        <v>19</v>
      </c>
    </row>
    <row r="15" spans="2:9" ht="33.75" customHeight="1" x14ac:dyDescent="0.25">
      <c r="B15" s="74" t="s">
        <v>368</v>
      </c>
      <c r="C15" s="75" t="s">
        <v>401</v>
      </c>
      <c r="D15" s="76" t="s">
        <v>227</v>
      </c>
      <c r="E15" s="74" t="s">
        <v>402</v>
      </c>
      <c r="F15" s="74" t="s">
        <v>393</v>
      </c>
      <c r="G15" s="74" t="s">
        <v>378</v>
      </c>
      <c r="H15" s="74" t="s">
        <v>305</v>
      </c>
      <c r="I15" s="74" t="s">
        <v>397</v>
      </c>
    </row>
    <row r="16" spans="2:9" ht="46.9" customHeight="1" x14ac:dyDescent="0.25">
      <c r="B16" s="74" t="s">
        <v>368</v>
      </c>
      <c r="C16" s="75" t="s">
        <v>403</v>
      </c>
      <c r="D16" s="76" t="s">
        <v>404</v>
      </c>
      <c r="E16" s="74" t="s">
        <v>405</v>
      </c>
      <c r="F16" s="74" t="s">
        <v>393</v>
      </c>
      <c r="G16" s="74" t="s">
        <v>406</v>
      </c>
      <c r="H16" s="74" t="s">
        <v>304</v>
      </c>
      <c r="I16" s="74" t="s">
        <v>407</v>
      </c>
    </row>
    <row r="17" spans="2:9" ht="46.9" customHeight="1" x14ac:dyDescent="0.25">
      <c r="B17" s="74" t="s">
        <v>368</v>
      </c>
      <c r="C17" s="75" t="s">
        <v>408</v>
      </c>
      <c r="D17" s="76" t="s">
        <v>409</v>
      </c>
      <c r="E17" s="74" t="s">
        <v>410</v>
      </c>
      <c r="F17" s="74" t="s">
        <v>393</v>
      </c>
      <c r="G17" s="74" t="s">
        <v>406</v>
      </c>
      <c r="H17" s="74" t="s">
        <v>304</v>
      </c>
      <c r="I17" s="74" t="s">
        <v>411</v>
      </c>
    </row>
    <row r="18" spans="2:9" ht="46.9" customHeight="1" x14ac:dyDescent="0.25">
      <c r="B18" s="74" t="s">
        <v>368</v>
      </c>
      <c r="C18" s="75" t="s">
        <v>412</v>
      </c>
      <c r="D18" s="76" t="s">
        <v>278</v>
      </c>
      <c r="E18" s="74" t="s">
        <v>413</v>
      </c>
      <c r="F18" s="74" t="s">
        <v>393</v>
      </c>
      <c r="G18" s="74" t="s">
        <v>406</v>
      </c>
      <c r="H18" s="74" t="s">
        <v>304</v>
      </c>
      <c r="I18" s="74" t="s">
        <v>411</v>
      </c>
    </row>
    <row r="19" spans="2:9" ht="46.9" customHeight="1" x14ac:dyDescent="0.25">
      <c r="B19" s="74" t="s">
        <v>368</v>
      </c>
      <c r="C19" s="75" t="s">
        <v>414</v>
      </c>
      <c r="D19" s="76" t="s">
        <v>279</v>
      </c>
      <c r="E19" s="74" t="s">
        <v>415</v>
      </c>
      <c r="F19" s="74" t="s">
        <v>393</v>
      </c>
      <c r="G19" s="74" t="s">
        <v>406</v>
      </c>
      <c r="H19" s="74" t="s">
        <v>304</v>
      </c>
      <c r="I19" s="74" t="s">
        <v>411</v>
      </c>
    </row>
    <row r="20" spans="2:9" ht="46.9" customHeight="1" x14ac:dyDescent="0.25">
      <c r="B20" s="74" t="s">
        <v>368</v>
      </c>
      <c r="C20" s="75" t="s">
        <v>416</v>
      </c>
      <c r="D20" s="76" t="s">
        <v>417</v>
      </c>
      <c r="E20" s="74" t="s">
        <v>418</v>
      </c>
      <c r="F20" s="74" t="s">
        <v>419</v>
      </c>
      <c r="G20" s="74" t="s">
        <v>420</v>
      </c>
      <c r="H20" s="74" t="s">
        <v>421</v>
      </c>
      <c r="I20" s="74" t="s">
        <v>422</v>
      </c>
    </row>
    <row r="21" spans="2:9" ht="33.75" customHeight="1" x14ac:dyDescent="0.25">
      <c r="B21" s="74" t="s">
        <v>368</v>
      </c>
      <c r="C21" s="75" t="s">
        <v>423</v>
      </c>
      <c r="D21" s="76" t="s">
        <v>424</v>
      </c>
      <c r="E21" s="74" t="s">
        <v>425</v>
      </c>
      <c r="F21" s="74" t="s">
        <v>419</v>
      </c>
      <c r="G21" s="74" t="s">
        <v>420</v>
      </c>
      <c r="H21" s="74" t="s">
        <v>421</v>
      </c>
      <c r="I21" s="74" t="s">
        <v>19</v>
      </c>
    </row>
    <row r="22" spans="2:9" ht="33.75" customHeight="1" x14ac:dyDescent="0.25">
      <c r="B22" s="74" t="s">
        <v>368</v>
      </c>
      <c r="C22" s="75" t="s">
        <v>426</v>
      </c>
      <c r="D22" s="76" t="s">
        <v>324</v>
      </c>
      <c r="E22" s="74" t="s">
        <v>427</v>
      </c>
      <c r="F22" s="74" t="s">
        <v>419</v>
      </c>
      <c r="G22" s="74" t="s">
        <v>420</v>
      </c>
      <c r="H22" s="74" t="s">
        <v>421</v>
      </c>
      <c r="I22" s="74" t="s">
        <v>397</v>
      </c>
    </row>
    <row r="23" spans="2:9" ht="33.75" customHeight="1" x14ac:dyDescent="0.25">
      <c r="B23" s="74" t="s">
        <v>368</v>
      </c>
      <c r="C23" s="75" t="s">
        <v>428</v>
      </c>
      <c r="D23" s="76" t="s">
        <v>429</v>
      </c>
      <c r="E23" s="74" t="s">
        <v>430</v>
      </c>
      <c r="F23" s="74" t="s">
        <v>431</v>
      </c>
      <c r="G23" s="74" t="s">
        <v>420</v>
      </c>
      <c r="H23" s="74" t="s">
        <v>421</v>
      </c>
      <c r="I23" s="74" t="s">
        <v>19</v>
      </c>
    </row>
    <row r="24" spans="2:9" ht="33.75" customHeight="1" x14ac:dyDescent="0.25">
      <c r="B24" s="74" t="s">
        <v>368</v>
      </c>
      <c r="C24" s="75" t="s">
        <v>432</v>
      </c>
      <c r="D24" s="76" t="s">
        <v>433</v>
      </c>
      <c r="E24" s="74" t="s">
        <v>434</v>
      </c>
      <c r="F24" s="74" t="s">
        <v>419</v>
      </c>
      <c r="G24" s="74" t="s">
        <v>435</v>
      </c>
      <c r="H24" s="74" t="s">
        <v>421</v>
      </c>
      <c r="I24" s="74" t="s">
        <v>397</v>
      </c>
    </row>
    <row r="25" spans="2:9" ht="33.75" customHeight="1" x14ac:dyDescent="0.25">
      <c r="B25" s="74" t="s">
        <v>368</v>
      </c>
      <c r="C25" s="75" t="s">
        <v>436</v>
      </c>
      <c r="D25" s="76" t="s">
        <v>437</v>
      </c>
      <c r="E25" s="74" t="s">
        <v>438</v>
      </c>
      <c r="F25" s="74" t="s">
        <v>419</v>
      </c>
      <c r="G25" s="74" t="s">
        <v>435</v>
      </c>
      <c r="H25" s="74" t="s">
        <v>421</v>
      </c>
      <c r="I25" s="74" t="s">
        <v>19</v>
      </c>
    </row>
    <row r="26" spans="2:9" ht="33.75" customHeight="1" x14ac:dyDescent="0.25">
      <c r="B26" s="74" t="s">
        <v>368</v>
      </c>
      <c r="C26" s="75" t="s">
        <v>439</v>
      </c>
      <c r="D26" s="76" t="s">
        <v>440</v>
      </c>
      <c r="E26" s="74" t="s">
        <v>441</v>
      </c>
      <c r="F26" s="74" t="s">
        <v>419</v>
      </c>
      <c r="G26" s="74" t="s">
        <v>435</v>
      </c>
      <c r="H26" s="74" t="s">
        <v>421</v>
      </c>
      <c r="I26" s="74" t="s">
        <v>19</v>
      </c>
    </row>
    <row r="27" spans="2:9" ht="33.75" customHeight="1" x14ac:dyDescent="0.25">
      <c r="B27" s="74" t="s">
        <v>368</v>
      </c>
      <c r="C27" s="75" t="s">
        <v>442</v>
      </c>
      <c r="D27" s="76" t="s">
        <v>443</v>
      </c>
      <c r="E27" s="74" t="s">
        <v>444</v>
      </c>
      <c r="F27" s="74" t="s">
        <v>445</v>
      </c>
      <c r="G27" s="74" t="s">
        <v>446</v>
      </c>
      <c r="H27" s="74" t="s">
        <v>447</v>
      </c>
      <c r="I27" s="74" t="s">
        <v>19</v>
      </c>
    </row>
    <row r="28" spans="2:9" ht="33.75" customHeight="1" x14ac:dyDescent="0.25">
      <c r="B28" s="74" t="s">
        <v>368</v>
      </c>
      <c r="C28" s="75" t="s">
        <v>448</v>
      </c>
      <c r="D28" s="76" t="s">
        <v>449</v>
      </c>
      <c r="E28" s="74" t="s">
        <v>450</v>
      </c>
      <c r="F28" s="74" t="s">
        <v>451</v>
      </c>
      <c r="G28" s="74" t="s">
        <v>452</v>
      </c>
      <c r="H28" s="74" t="s">
        <v>453</v>
      </c>
      <c r="I28" s="74" t="s">
        <v>454</v>
      </c>
    </row>
    <row r="29" spans="2:9" ht="33.75" customHeight="1" x14ac:dyDescent="0.25">
      <c r="B29" s="74" t="s">
        <v>368</v>
      </c>
      <c r="C29" s="75" t="s">
        <v>455</v>
      </c>
      <c r="D29" s="76" t="s">
        <v>456</v>
      </c>
      <c r="E29" s="74" t="s">
        <v>457</v>
      </c>
      <c r="F29" s="74" t="s">
        <v>458</v>
      </c>
      <c r="G29" s="74" t="s">
        <v>459</v>
      </c>
      <c r="H29" s="74" t="s">
        <v>460</v>
      </c>
      <c r="I29" s="74" t="s">
        <v>19</v>
      </c>
    </row>
    <row r="30" spans="2:9" ht="33.75" customHeight="1" x14ac:dyDescent="0.25">
      <c r="B30" s="74" t="s">
        <v>461</v>
      </c>
      <c r="C30" s="75" t="s">
        <v>462</v>
      </c>
      <c r="D30" s="76" t="s">
        <v>463</v>
      </c>
      <c r="E30" s="74" t="s">
        <v>464</v>
      </c>
      <c r="F30" s="74" t="s">
        <v>465</v>
      </c>
      <c r="G30" s="74" t="s">
        <v>466</v>
      </c>
      <c r="H30" s="74" t="s">
        <v>467</v>
      </c>
      <c r="I30" s="74" t="s">
        <v>468</v>
      </c>
    </row>
    <row r="31" spans="2:9" ht="33.75" customHeight="1" x14ac:dyDescent="0.25">
      <c r="B31" s="74" t="s">
        <v>461</v>
      </c>
      <c r="C31" s="75" t="s">
        <v>469</v>
      </c>
      <c r="D31" s="76" t="s">
        <v>470</v>
      </c>
      <c r="E31" s="74" t="s">
        <v>471</v>
      </c>
      <c r="F31" s="74" t="s">
        <v>472</v>
      </c>
      <c r="G31" s="74" t="s">
        <v>473</v>
      </c>
      <c r="H31" s="74" t="s">
        <v>467</v>
      </c>
      <c r="I31" s="74" t="s">
        <v>29</v>
      </c>
    </row>
    <row r="32" spans="2:9" ht="59.65" customHeight="1" x14ac:dyDescent="0.25">
      <c r="B32" s="74" t="s">
        <v>474</v>
      </c>
      <c r="C32" s="75" t="s">
        <v>475</v>
      </c>
      <c r="D32" s="76" t="s">
        <v>214</v>
      </c>
      <c r="E32" s="74" t="s">
        <v>476</v>
      </c>
      <c r="F32" s="74" t="s">
        <v>477</v>
      </c>
      <c r="G32" s="74" t="s">
        <v>478</v>
      </c>
      <c r="H32" s="74" t="s">
        <v>479</v>
      </c>
      <c r="I32" s="74" t="s">
        <v>480</v>
      </c>
    </row>
    <row r="33" spans="2:9" ht="59.65" customHeight="1" x14ac:dyDescent="0.25">
      <c r="B33" s="74" t="s">
        <v>474</v>
      </c>
      <c r="C33" s="75" t="s">
        <v>481</v>
      </c>
      <c r="D33" s="76" t="s">
        <v>216</v>
      </c>
      <c r="E33" s="74" t="s">
        <v>482</v>
      </c>
      <c r="F33" s="74" t="s">
        <v>483</v>
      </c>
      <c r="G33" s="74" t="s">
        <v>478</v>
      </c>
      <c r="H33" s="74" t="s">
        <v>479</v>
      </c>
      <c r="I33" s="74" t="s">
        <v>480</v>
      </c>
    </row>
    <row r="34" spans="2:9" ht="59.65" customHeight="1" x14ac:dyDescent="0.25">
      <c r="B34" s="74" t="s">
        <v>474</v>
      </c>
      <c r="C34" s="75" t="s">
        <v>484</v>
      </c>
      <c r="D34" s="76" t="s">
        <v>217</v>
      </c>
      <c r="E34" s="74" t="s">
        <v>485</v>
      </c>
      <c r="F34" s="74" t="s">
        <v>486</v>
      </c>
      <c r="G34" s="74" t="s">
        <v>478</v>
      </c>
      <c r="H34" s="74" t="s">
        <v>479</v>
      </c>
      <c r="I34" s="74" t="s">
        <v>480</v>
      </c>
    </row>
    <row r="35" spans="2:9" ht="33.75" customHeight="1" x14ac:dyDescent="0.25">
      <c r="B35" s="74" t="s">
        <v>474</v>
      </c>
      <c r="C35" s="75" t="s">
        <v>487</v>
      </c>
      <c r="D35" s="76" t="s">
        <v>218</v>
      </c>
      <c r="E35" s="74" t="s">
        <v>488</v>
      </c>
      <c r="F35" s="74" t="s">
        <v>477</v>
      </c>
      <c r="G35" s="74" t="s">
        <v>378</v>
      </c>
      <c r="H35" s="74" t="s">
        <v>305</v>
      </c>
      <c r="I35" s="74" t="s">
        <v>25</v>
      </c>
    </row>
    <row r="36" spans="2:9" ht="33.75" customHeight="1" x14ac:dyDescent="0.25">
      <c r="B36" s="74" t="s">
        <v>474</v>
      </c>
      <c r="C36" s="75" t="s">
        <v>489</v>
      </c>
      <c r="D36" s="76" t="s">
        <v>219</v>
      </c>
      <c r="E36" s="74" t="s">
        <v>490</v>
      </c>
      <c r="F36" s="74" t="s">
        <v>491</v>
      </c>
      <c r="G36" s="74" t="s">
        <v>420</v>
      </c>
      <c r="H36" s="74" t="s">
        <v>421</v>
      </c>
      <c r="I36" s="74" t="s">
        <v>25</v>
      </c>
    </row>
    <row r="37" spans="2:9" ht="33.75" customHeight="1" x14ac:dyDescent="0.25">
      <c r="B37" s="74" t="s">
        <v>474</v>
      </c>
      <c r="C37" s="75" t="s">
        <v>426</v>
      </c>
      <c r="D37" s="76" t="s">
        <v>221</v>
      </c>
      <c r="E37" s="74" t="s">
        <v>492</v>
      </c>
      <c r="F37" s="74" t="s">
        <v>419</v>
      </c>
      <c r="G37" s="74" t="s">
        <v>420</v>
      </c>
      <c r="H37" s="74" t="s">
        <v>421</v>
      </c>
      <c r="I37" s="74" t="s">
        <v>25</v>
      </c>
    </row>
    <row r="38" spans="2:9" ht="33.75" customHeight="1" x14ac:dyDescent="0.25">
      <c r="B38" s="74" t="s">
        <v>474</v>
      </c>
      <c r="C38" s="75" t="s">
        <v>493</v>
      </c>
      <c r="D38" s="76" t="s">
        <v>222</v>
      </c>
      <c r="E38" s="74" t="s">
        <v>494</v>
      </c>
      <c r="F38" s="74" t="s">
        <v>495</v>
      </c>
      <c r="G38" s="74" t="s">
        <v>435</v>
      </c>
      <c r="H38" s="74" t="s">
        <v>421</v>
      </c>
      <c r="I38" s="74" t="s">
        <v>25</v>
      </c>
    </row>
    <row r="39" spans="2:9" ht="33.75" customHeight="1" x14ac:dyDescent="0.25">
      <c r="B39" s="74" t="s">
        <v>474</v>
      </c>
      <c r="C39" s="75" t="s">
        <v>496</v>
      </c>
      <c r="D39" s="76" t="s">
        <v>223</v>
      </c>
      <c r="E39" s="74" t="s">
        <v>497</v>
      </c>
      <c r="F39" s="74" t="s">
        <v>477</v>
      </c>
      <c r="G39" s="74" t="s">
        <v>378</v>
      </c>
      <c r="H39" s="74" t="s">
        <v>305</v>
      </c>
      <c r="I39" s="74" t="s">
        <v>25</v>
      </c>
    </row>
    <row r="40" spans="2:9" ht="33.75" customHeight="1" x14ac:dyDescent="0.25">
      <c r="B40" s="74" t="s">
        <v>474</v>
      </c>
      <c r="C40" s="75" t="s">
        <v>498</v>
      </c>
      <c r="D40" s="76" t="s">
        <v>226</v>
      </c>
      <c r="E40" s="74" t="s">
        <v>499</v>
      </c>
      <c r="F40" s="74" t="s">
        <v>477</v>
      </c>
      <c r="G40" s="74" t="s">
        <v>378</v>
      </c>
      <c r="H40" s="74" t="s">
        <v>305</v>
      </c>
      <c r="I40" s="74" t="s">
        <v>25</v>
      </c>
    </row>
    <row r="41" spans="2:9" ht="33.75" customHeight="1" x14ac:dyDescent="0.25">
      <c r="B41" s="74" t="s">
        <v>474</v>
      </c>
      <c r="C41" s="75" t="s">
        <v>500</v>
      </c>
      <c r="D41" s="76" t="s">
        <v>228</v>
      </c>
      <c r="E41" s="74" t="s">
        <v>501</v>
      </c>
      <c r="F41" s="74" t="s">
        <v>502</v>
      </c>
      <c r="G41" s="74" t="s">
        <v>378</v>
      </c>
      <c r="H41" s="74" t="s">
        <v>305</v>
      </c>
      <c r="I41" s="74" t="s">
        <v>25</v>
      </c>
    </row>
    <row r="42" spans="2:9" ht="33.75" customHeight="1" x14ac:dyDescent="0.25">
      <c r="B42" s="74" t="s">
        <v>474</v>
      </c>
      <c r="C42" s="75" t="s">
        <v>503</v>
      </c>
      <c r="D42" s="76" t="s">
        <v>233</v>
      </c>
      <c r="E42" s="74" t="s">
        <v>504</v>
      </c>
      <c r="F42" s="74" t="s">
        <v>477</v>
      </c>
      <c r="G42" s="74" t="s">
        <v>378</v>
      </c>
      <c r="H42" s="74" t="s">
        <v>305</v>
      </c>
      <c r="I42" s="74" t="s">
        <v>25</v>
      </c>
    </row>
    <row r="43" spans="2:9" ht="59.65" customHeight="1" x14ac:dyDescent="0.25">
      <c r="B43" s="74" t="s">
        <v>505</v>
      </c>
      <c r="C43" s="75" t="s">
        <v>506</v>
      </c>
      <c r="D43" s="76" t="s">
        <v>507</v>
      </c>
      <c r="E43" s="74" t="s">
        <v>508</v>
      </c>
      <c r="F43" s="74" t="s">
        <v>509</v>
      </c>
      <c r="G43" s="74" t="s">
        <v>510</v>
      </c>
      <c r="H43" s="74" t="s">
        <v>305</v>
      </c>
      <c r="I43" s="74" t="s">
        <v>511</v>
      </c>
    </row>
    <row r="44" spans="2:9" ht="33.75" customHeight="1" x14ac:dyDescent="0.25">
      <c r="B44" s="74" t="s">
        <v>505</v>
      </c>
      <c r="C44" s="75" t="s">
        <v>512</v>
      </c>
      <c r="D44" s="76" t="s">
        <v>513</v>
      </c>
      <c r="E44" s="74" t="s">
        <v>514</v>
      </c>
      <c r="F44" s="74" t="s">
        <v>515</v>
      </c>
      <c r="G44" s="74" t="s">
        <v>473</v>
      </c>
      <c r="H44" s="74" t="s">
        <v>305</v>
      </c>
      <c r="I44" s="74" t="s">
        <v>516</v>
      </c>
    </row>
    <row r="45" spans="2:9" ht="46.9" customHeight="1" x14ac:dyDescent="0.25">
      <c r="B45" s="74" t="s">
        <v>505</v>
      </c>
      <c r="C45" s="75" t="s">
        <v>517</v>
      </c>
      <c r="D45" s="76" t="s">
        <v>518</v>
      </c>
      <c r="E45" s="74" t="s">
        <v>519</v>
      </c>
      <c r="F45" s="74" t="s">
        <v>520</v>
      </c>
      <c r="G45" s="74" t="s">
        <v>521</v>
      </c>
      <c r="H45" s="74" t="s">
        <v>304</v>
      </c>
      <c r="I45" s="74" t="s">
        <v>522</v>
      </c>
    </row>
    <row r="46" spans="2:9" ht="46.9" customHeight="1" x14ac:dyDescent="0.25">
      <c r="B46" s="74" t="s">
        <v>505</v>
      </c>
      <c r="C46" s="75" t="s">
        <v>523</v>
      </c>
      <c r="D46" s="76" t="s">
        <v>524</v>
      </c>
      <c r="E46" s="74" t="s">
        <v>525</v>
      </c>
      <c r="F46" s="74" t="s">
        <v>526</v>
      </c>
      <c r="G46" s="74" t="s">
        <v>473</v>
      </c>
      <c r="H46" s="74" t="s">
        <v>527</v>
      </c>
      <c r="I46" s="74" t="s">
        <v>528</v>
      </c>
    </row>
    <row r="47" spans="2:9" ht="33.75" customHeight="1" x14ac:dyDescent="0.25">
      <c r="B47" s="74" t="s">
        <v>505</v>
      </c>
      <c r="C47" s="75" t="s">
        <v>529</v>
      </c>
      <c r="D47" s="76" t="s">
        <v>530</v>
      </c>
      <c r="E47" s="74" t="s">
        <v>531</v>
      </c>
      <c r="F47" s="74" t="s">
        <v>532</v>
      </c>
      <c r="G47" s="74" t="s">
        <v>473</v>
      </c>
      <c r="H47" s="74" t="s">
        <v>305</v>
      </c>
      <c r="I47" s="74" t="s">
        <v>533</v>
      </c>
    </row>
    <row r="48" spans="2:9" ht="33.75" customHeight="1" x14ac:dyDescent="0.25">
      <c r="B48" s="74" t="s">
        <v>505</v>
      </c>
      <c r="C48" s="75" t="s">
        <v>534</v>
      </c>
      <c r="D48" s="76" t="s">
        <v>535</v>
      </c>
      <c r="E48" s="74" t="s">
        <v>536</v>
      </c>
      <c r="F48" s="74" t="s">
        <v>532</v>
      </c>
      <c r="G48" s="74" t="s">
        <v>473</v>
      </c>
      <c r="H48" s="74" t="s">
        <v>305</v>
      </c>
      <c r="I48" s="74" t="s">
        <v>25</v>
      </c>
    </row>
    <row r="49" spans="2:9" ht="46.9" customHeight="1" x14ac:dyDescent="0.25">
      <c r="B49" s="74" t="s">
        <v>505</v>
      </c>
      <c r="C49" s="75" t="s">
        <v>537</v>
      </c>
      <c r="D49" s="76" t="s">
        <v>538</v>
      </c>
      <c r="E49" s="74" t="s">
        <v>539</v>
      </c>
      <c r="F49" s="74" t="s">
        <v>540</v>
      </c>
      <c r="G49" s="74" t="s">
        <v>473</v>
      </c>
      <c r="H49" s="74" t="s">
        <v>541</v>
      </c>
      <c r="I49" s="74" t="s">
        <v>522</v>
      </c>
    </row>
    <row r="50" spans="2:9" ht="46.9" customHeight="1" x14ac:dyDescent="0.25">
      <c r="B50" s="74" t="s">
        <v>505</v>
      </c>
      <c r="C50" s="75" t="s">
        <v>542</v>
      </c>
      <c r="D50" s="76" t="s">
        <v>543</v>
      </c>
      <c r="E50" s="74" t="s">
        <v>544</v>
      </c>
      <c r="F50" s="74" t="s">
        <v>377</v>
      </c>
      <c r="G50" s="74" t="s">
        <v>473</v>
      </c>
      <c r="H50" s="74" t="s">
        <v>305</v>
      </c>
      <c r="I50" s="74" t="s">
        <v>545</v>
      </c>
    </row>
  </sheetData>
  <mergeCells count="1">
    <mergeCell ref="B1:H1"/>
  </mergeCells>
  <hyperlinks>
    <hyperlink ref="I1" location="'Portada'!A1" display="← Portada" xr:uid="{00000000-0004-0000-09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B4B4B"/>
    <pageSetUpPr fitToPage="1"/>
  </sheetPr>
  <dimension ref="B1:G18"/>
  <sheetViews>
    <sheetView showGridLines="0" zoomScale="90" workbookViewId="0">
      <pane xSplit="1" ySplit="6" topLeftCell="B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34" customWidth="1"/>
    <col min="3" max="3" width="40" customWidth="1"/>
    <col min="4" max="4" width="34" customWidth="1"/>
    <col min="5" max="5" width="44" customWidth="1"/>
    <col min="6" max="6" width="14" customWidth="1"/>
    <col min="7" max="7" width="30" customWidth="1"/>
  </cols>
  <sheetData>
    <row r="1" spans="2:7" ht="20.100000000000001" customHeight="1" x14ac:dyDescent="0.25">
      <c r="B1" s="116" t="s">
        <v>49</v>
      </c>
      <c r="C1" s="83"/>
      <c r="D1" s="83"/>
      <c r="E1" s="83"/>
      <c r="F1" s="83"/>
      <c r="G1" s="14" t="s">
        <v>50</v>
      </c>
    </row>
    <row r="2" spans="2:7" ht="30" customHeight="1" x14ac:dyDescent="0.25">
      <c r="B2" s="15" t="s">
        <v>35</v>
      </c>
    </row>
    <row r="3" spans="2:7" ht="20.100000000000001" customHeight="1" x14ac:dyDescent="0.25">
      <c r="B3" s="16" t="s">
        <v>546</v>
      </c>
    </row>
    <row r="4" spans="2:7" ht="3" customHeight="1" x14ac:dyDescent="0.25">
      <c r="B4" s="2"/>
      <c r="C4" s="2"/>
      <c r="D4" s="2"/>
      <c r="E4" s="2"/>
      <c r="F4" s="2"/>
      <c r="G4" s="2"/>
    </row>
    <row r="5" spans="2:7" ht="9.9499999999999993" customHeight="1" x14ac:dyDescent="0.25"/>
    <row r="6" spans="2:7" ht="30" customHeight="1" x14ac:dyDescent="0.25">
      <c r="B6" s="20" t="s">
        <v>547</v>
      </c>
      <c r="C6" s="20" t="s">
        <v>548</v>
      </c>
      <c r="D6" s="20" t="s">
        <v>549</v>
      </c>
      <c r="E6" s="20" t="s">
        <v>550</v>
      </c>
      <c r="F6" s="20" t="s">
        <v>551</v>
      </c>
      <c r="G6" s="20" t="s">
        <v>552</v>
      </c>
    </row>
    <row r="7" spans="2:7" ht="33.75" customHeight="1" x14ac:dyDescent="0.25">
      <c r="B7" s="74" t="s">
        <v>553</v>
      </c>
      <c r="C7" s="74" t="s">
        <v>554</v>
      </c>
      <c r="D7" s="74" t="s">
        <v>555</v>
      </c>
      <c r="E7" s="77" t="s">
        <v>556</v>
      </c>
      <c r="F7" s="78" t="s">
        <v>557</v>
      </c>
      <c r="G7" s="79" t="s">
        <v>558</v>
      </c>
    </row>
    <row r="8" spans="2:7" ht="33.75" customHeight="1" x14ac:dyDescent="0.25">
      <c r="B8" s="74" t="s">
        <v>559</v>
      </c>
      <c r="C8" s="74" t="s">
        <v>560</v>
      </c>
      <c r="D8" s="74" t="s">
        <v>561</v>
      </c>
      <c r="E8" s="77" t="s">
        <v>562</v>
      </c>
      <c r="F8" s="78" t="s">
        <v>557</v>
      </c>
      <c r="G8" s="79" t="s">
        <v>563</v>
      </c>
    </row>
    <row r="9" spans="2:7" ht="33.75" customHeight="1" x14ac:dyDescent="0.25">
      <c r="B9" s="74" t="s">
        <v>559</v>
      </c>
      <c r="C9" s="74" t="s">
        <v>564</v>
      </c>
      <c r="D9" s="74" t="s">
        <v>565</v>
      </c>
      <c r="E9" s="77" t="s">
        <v>566</v>
      </c>
      <c r="F9" s="78" t="s">
        <v>557</v>
      </c>
      <c r="G9" s="79" t="s">
        <v>567</v>
      </c>
    </row>
    <row r="10" spans="2:7" ht="33.75" customHeight="1" x14ac:dyDescent="0.25">
      <c r="B10" s="74" t="s">
        <v>568</v>
      </c>
      <c r="C10" s="74" t="s">
        <v>569</v>
      </c>
      <c r="D10" s="74" t="s">
        <v>570</v>
      </c>
      <c r="E10" s="77" t="s">
        <v>571</v>
      </c>
      <c r="F10" s="78" t="s">
        <v>557</v>
      </c>
      <c r="G10" s="79" t="s">
        <v>572</v>
      </c>
    </row>
    <row r="11" spans="2:7" ht="33.75" customHeight="1" x14ac:dyDescent="0.25">
      <c r="B11" s="74" t="s">
        <v>573</v>
      </c>
      <c r="C11" s="74" t="s">
        <v>574</v>
      </c>
      <c r="D11" s="74" t="s">
        <v>575</v>
      </c>
      <c r="E11" s="77" t="s">
        <v>576</v>
      </c>
      <c r="F11" s="78" t="s">
        <v>557</v>
      </c>
      <c r="G11" s="79" t="s">
        <v>577</v>
      </c>
    </row>
    <row r="12" spans="2:7" ht="44.65" customHeight="1" x14ac:dyDescent="0.25">
      <c r="B12" s="74" t="s">
        <v>578</v>
      </c>
      <c r="C12" s="74" t="s">
        <v>579</v>
      </c>
      <c r="D12" s="74" t="s">
        <v>580</v>
      </c>
      <c r="E12" s="77" t="s">
        <v>581</v>
      </c>
      <c r="F12" s="78" t="s">
        <v>557</v>
      </c>
      <c r="G12" s="79" t="s">
        <v>582</v>
      </c>
    </row>
    <row r="13" spans="2:7" ht="44.65" customHeight="1" x14ac:dyDescent="0.25">
      <c r="B13" s="74" t="s">
        <v>578</v>
      </c>
      <c r="C13" s="74" t="s">
        <v>583</v>
      </c>
      <c r="D13" s="74" t="s">
        <v>584</v>
      </c>
      <c r="E13" s="77" t="s">
        <v>581</v>
      </c>
      <c r="F13" s="78" t="s">
        <v>557</v>
      </c>
      <c r="G13" s="79" t="s">
        <v>585</v>
      </c>
    </row>
    <row r="14" spans="2:7" ht="32.450000000000003" customHeight="1" x14ac:dyDescent="0.25">
      <c r="B14" s="74" t="s">
        <v>586</v>
      </c>
      <c r="C14" s="74" t="s">
        <v>587</v>
      </c>
      <c r="D14" s="74" t="s">
        <v>588</v>
      </c>
      <c r="E14" s="77" t="s">
        <v>589</v>
      </c>
      <c r="F14" s="78" t="s">
        <v>557</v>
      </c>
      <c r="G14" s="79" t="s">
        <v>590</v>
      </c>
    </row>
    <row r="15" spans="2:7" ht="46.9" customHeight="1" x14ac:dyDescent="0.25">
      <c r="B15" s="74" t="s">
        <v>591</v>
      </c>
      <c r="C15" s="74" t="s">
        <v>592</v>
      </c>
      <c r="D15" s="74" t="s">
        <v>593</v>
      </c>
      <c r="E15" s="77" t="s">
        <v>594</v>
      </c>
      <c r="F15" s="78" t="s">
        <v>557</v>
      </c>
      <c r="G15" s="79" t="s">
        <v>595</v>
      </c>
    </row>
    <row r="16" spans="2:7" ht="46.9" customHeight="1" x14ac:dyDescent="0.25">
      <c r="B16" s="74" t="s">
        <v>596</v>
      </c>
      <c r="C16" s="74" t="s">
        <v>597</v>
      </c>
      <c r="D16" s="74" t="s">
        <v>598</v>
      </c>
      <c r="E16" s="77" t="s">
        <v>599</v>
      </c>
      <c r="F16" s="78" t="s">
        <v>557</v>
      </c>
      <c r="G16" s="79" t="s">
        <v>600</v>
      </c>
    </row>
    <row r="18" spans="2:7" ht="31.15" customHeight="1" x14ac:dyDescent="0.25">
      <c r="B18" s="129" t="s">
        <v>601</v>
      </c>
      <c r="C18" s="83"/>
      <c r="D18" s="83"/>
      <c r="E18" s="83"/>
      <c r="F18" s="83"/>
      <c r="G18" s="83"/>
    </row>
  </sheetData>
  <mergeCells count="2">
    <mergeCell ref="B18:G18"/>
    <mergeCell ref="B1:F1"/>
  </mergeCells>
  <hyperlinks>
    <hyperlink ref="G1" location="'Portada'!A1" display="← Portada" xr:uid="{00000000-0004-0000-0A00-000000000000}"/>
    <hyperlink ref="E7" r:id="rId1" xr:uid="{00000000-0004-0000-0A00-000001000000}"/>
    <hyperlink ref="F7" r:id="rId2" xr:uid="{00000000-0004-0000-0A00-000002000000}"/>
    <hyperlink ref="E8" r:id="rId3" xr:uid="{00000000-0004-0000-0A00-000003000000}"/>
    <hyperlink ref="F8" r:id="rId4" xr:uid="{00000000-0004-0000-0A00-000004000000}"/>
    <hyperlink ref="E9" r:id="rId5" xr:uid="{00000000-0004-0000-0A00-000005000000}"/>
    <hyperlink ref="F9" r:id="rId6" xr:uid="{00000000-0004-0000-0A00-000006000000}"/>
    <hyperlink ref="E10" r:id="rId7" location="/ebc/encuesta-cultura-ciudadana-2025" xr:uid="{00000000-0004-0000-0A00-000007000000}"/>
    <hyperlink ref="F10" r:id="rId8" xr:uid="{00000000-0004-0000-0A00-000008000000}"/>
    <hyperlink ref="E11" r:id="rId9" xr:uid="{00000000-0004-0000-0A00-000009000000}"/>
    <hyperlink ref="F11" r:id="rId10" xr:uid="{00000000-0004-0000-0A00-00000A000000}"/>
    <hyperlink ref="E12" r:id="rId11" xr:uid="{00000000-0004-0000-0A00-00000B000000}"/>
    <hyperlink ref="F12" r:id="rId12" xr:uid="{00000000-0004-0000-0A00-00000C000000}"/>
    <hyperlink ref="E13" r:id="rId13" xr:uid="{00000000-0004-0000-0A00-00000D000000}"/>
    <hyperlink ref="F13" r:id="rId14" xr:uid="{00000000-0004-0000-0A00-00000E000000}"/>
    <hyperlink ref="E14" r:id="rId15" xr:uid="{00000000-0004-0000-0A00-00000F000000}"/>
    <hyperlink ref="F14" r:id="rId16" xr:uid="{00000000-0004-0000-0A00-000010000000}"/>
    <hyperlink ref="E15" r:id="rId17" xr:uid="{00000000-0004-0000-0A00-000011000000}"/>
    <hyperlink ref="F15" r:id="rId18" xr:uid="{00000000-0004-0000-0A00-000012000000}"/>
    <hyperlink ref="E16" r:id="rId19" xr:uid="{00000000-0004-0000-0A00-000013000000}"/>
    <hyperlink ref="F16" r:id="rId20" xr:uid="{00000000-0004-0000-0A00-000014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2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B4B4B"/>
    <pageSetUpPr fitToPage="1"/>
  </sheetPr>
  <dimension ref="B1:E28"/>
  <sheetViews>
    <sheetView showGridLines="0" zoomScale="90" workbookViewId="0">
      <pane xSplit="1" ySplit="6" topLeftCell="B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6" customWidth="1"/>
    <col min="3" max="3" width="22" customWidth="1"/>
    <col min="4" max="4" width="18" customWidth="1"/>
    <col min="5" max="5" width="96" customWidth="1"/>
  </cols>
  <sheetData>
    <row r="1" spans="2:5" ht="20.100000000000001" customHeight="1" x14ac:dyDescent="0.25">
      <c r="B1" s="116" t="s">
        <v>49</v>
      </c>
      <c r="C1" s="83"/>
      <c r="D1" s="83"/>
      <c r="E1" s="14" t="s">
        <v>50</v>
      </c>
    </row>
    <row r="2" spans="2:5" ht="30" customHeight="1" x14ac:dyDescent="0.25">
      <c r="B2" s="15" t="s">
        <v>602</v>
      </c>
    </row>
    <row r="3" spans="2:5" ht="20.100000000000001" customHeight="1" x14ac:dyDescent="0.25">
      <c r="B3" s="16" t="s">
        <v>603</v>
      </c>
    </row>
    <row r="4" spans="2:5" ht="3" customHeight="1" x14ac:dyDescent="0.25">
      <c r="B4" s="2"/>
      <c r="C4" s="2"/>
      <c r="D4" s="2"/>
      <c r="E4" s="2"/>
    </row>
    <row r="5" spans="2:5" ht="9.9499999999999993" customHeight="1" x14ac:dyDescent="0.25"/>
    <row r="6" spans="2:5" ht="27.95" customHeight="1" x14ac:dyDescent="0.25">
      <c r="B6" s="20" t="s">
        <v>604</v>
      </c>
      <c r="C6" s="20" t="s">
        <v>365</v>
      </c>
      <c r="D6" s="20" t="s">
        <v>605</v>
      </c>
      <c r="E6" s="20" t="s">
        <v>606</v>
      </c>
    </row>
    <row r="7" spans="2:5" ht="20.85" customHeight="1" x14ac:dyDescent="0.25">
      <c r="B7" s="21">
        <v>1</v>
      </c>
      <c r="C7" s="57" t="s">
        <v>607</v>
      </c>
      <c r="D7" s="22" t="s">
        <v>608</v>
      </c>
      <c r="E7" s="80" t="s">
        <v>609</v>
      </c>
    </row>
    <row r="8" spans="2:5" ht="20.85" customHeight="1" x14ac:dyDescent="0.25">
      <c r="B8" s="21">
        <v>2</v>
      </c>
      <c r="C8" s="57" t="s">
        <v>607</v>
      </c>
      <c r="D8" s="22" t="s">
        <v>610</v>
      </c>
      <c r="E8" s="80" t="s">
        <v>611</v>
      </c>
    </row>
    <row r="9" spans="2:5" ht="20.85" customHeight="1" x14ac:dyDescent="0.25">
      <c r="B9" s="21">
        <v>3</v>
      </c>
      <c r="C9" s="57" t="s">
        <v>607</v>
      </c>
      <c r="D9" s="22" t="s">
        <v>612</v>
      </c>
      <c r="E9" s="80" t="s">
        <v>613</v>
      </c>
    </row>
    <row r="10" spans="2:5" ht="20.85" customHeight="1" x14ac:dyDescent="0.25">
      <c r="B10" s="21">
        <v>4</v>
      </c>
      <c r="C10" s="57" t="s">
        <v>607</v>
      </c>
      <c r="D10" s="22" t="s">
        <v>614</v>
      </c>
      <c r="E10" s="80" t="s">
        <v>615</v>
      </c>
    </row>
    <row r="11" spans="2:5" ht="20.85" customHeight="1" x14ac:dyDescent="0.25">
      <c r="B11" s="21">
        <v>5</v>
      </c>
      <c r="C11" s="57" t="s">
        <v>616</v>
      </c>
      <c r="D11" s="22" t="s">
        <v>608</v>
      </c>
      <c r="E11" s="80" t="s">
        <v>617</v>
      </c>
    </row>
    <row r="12" spans="2:5" ht="20.85" customHeight="1" x14ac:dyDescent="0.25">
      <c r="B12" s="21">
        <v>6</v>
      </c>
      <c r="C12" s="57" t="s">
        <v>616</v>
      </c>
      <c r="D12" s="22" t="s">
        <v>610</v>
      </c>
      <c r="E12" s="80" t="s">
        <v>618</v>
      </c>
    </row>
    <row r="13" spans="2:5" ht="20.85" customHeight="1" x14ac:dyDescent="0.25">
      <c r="B13" s="21">
        <v>7</v>
      </c>
      <c r="C13" s="57" t="s">
        <v>619</v>
      </c>
      <c r="D13" s="22" t="s">
        <v>608</v>
      </c>
      <c r="E13" s="80" t="s">
        <v>620</v>
      </c>
    </row>
    <row r="14" spans="2:5" ht="20.85" customHeight="1" x14ac:dyDescent="0.25">
      <c r="B14" s="21">
        <v>8</v>
      </c>
      <c r="C14" s="57" t="s">
        <v>619</v>
      </c>
      <c r="D14" s="22" t="s">
        <v>621</v>
      </c>
      <c r="E14" s="80" t="s">
        <v>622</v>
      </c>
    </row>
    <row r="15" spans="2:5" ht="20.85" customHeight="1" x14ac:dyDescent="0.25">
      <c r="B15" s="21">
        <v>9</v>
      </c>
      <c r="C15" s="57" t="s">
        <v>623</v>
      </c>
      <c r="D15" s="22" t="s">
        <v>608</v>
      </c>
      <c r="E15" s="80" t="s">
        <v>624</v>
      </c>
    </row>
    <row r="16" spans="2:5" ht="20.85" customHeight="1" x14ac:dyDescent="0.25">
      <c r="B16" s="21">
        <v>10</v>
      </c>
      <c r="C16" s="57" t="s">
        <v>625</v>
      </c>
      <c r="D16" s="22" t="s">
        <v>608</v>
      </c>
      <c r="E16" s="80" t="s">
        <v>626</v>
      </c>
    </row>
    <row r="17" spans="2:5" ht="20.85" customHeight="1" x14ac:dyDescent="0.25">
      <c r="B17" s="21">
        <v>11</v>
      </c>
      <c r="C17" s="57" t="s">
        <v>625</v>
      </c>
      <c r="D17" s="22" t="s">
        <v>627</v>
      </c>
      <c r="E17" s="80" t="s">
        <v>628</v>
      </c>
    </row>
    <row r="18" spans="2:5" ht="20.85" customHeight="1" x14ac:dyDescent="0.25">
      <c r="B18" s="21">
        <v>12</v>
      </c>
      <c r="C18" s="57" t="s">
        <v>625</v>
      </c>
      <c r="D18" s="22" t="s">
        <v>629</v>
      </c>
      <c r="E18" s="80" t="s">
        <v>630</v>
      </c>
    </row>
    <row r="19" spans="2:5" ht="20.85" customHeight="1" x14ac:dyDescent="0.25">
      <c r="B19" s="21">
        <v>13</v>
      </c>
      <c r="C19" s="57" t="s">
        <v>625</v>
      </c>
      <c r="D19" s="22" t="s">
        <v>631</v>
      </c>
      <c r="E19" s="80" t="s">
        <v>632</v>
      </c>
    </row>
    <row r="20" spans="2:5" ht="20.85" customHeight="1" x14ac:dyDescent="0.25">
      <c r="B20" s="21">
        <v>14</v>
      </c>
      <c r="C20" s="57" t="s">
        <v>633</v>
      </c>
      <c r="D20" s="22" t="s">
        <v>608</v>
      </c>
      <c r="E20" s="80" t="s">
        <v>634</v>
      </c>
    </row>
    <row r="21" spans="2:5" ht="20.85" customHeight="1" x14ac:dyDescent="0.25">
      <c r="B21" s="21">
        <v>15</v>
      </c>
      <c r="C21" s="57" t="s">
        <v>633</v>
      </c>
      <c r="D21" s="22" t="s">
        <v>612</v>
      </c>
      <c r="E21" s="80" t="s">
        <v>635</v>
      </c>
    </row>
    <row r="22" spans="2:5" ht="20.85" customHeight="1" x14ac:dyDescent="0.25">
      <c r="B22" s="21">
        <v>16</v>
      </c>
      <c r="C22" s="57" t="s">
        <v>636</v>
      </c>
      <c r="D22" s="22" t="s">
        <v>637</v>
      </c>
      <c r="E22" s="80" t="s">
        <v>638</v>
      </c>
    </row>
    <row r="23" spans="2:5" ht="20.85" customHeight="1" x14ac:dyDescent="0.25">
      <c r="B23" s="21">
        <v>17</v>
      </c>
      <c r="C23" s="57" t="s">
        <v>639</v>
      </c>
      <c r="D23" s="22" t="s">
        <v>610</v>
      </c>
      <c r="E23" s="80" t="s">
        <v>618</v>
      </c>
    </row>
    <row r="24" spans="2:5" ht="20.85" customHeight="1" x14ac:dyDescent="0.25">
      <c r="B24" s="21">
        <v>18</v>
      </c>
      <c r="C24" s="57" t="s">
        <v>639</v>
      </c>
      <c r="D24" s="22" t="s">
        <v>640</v>
      </c>
      <c r="E24" s="80" t="s">
        <v>641</v>
      </c>
    </row>
    <row r="25" spans="2:5" ht="20.85" customHeight="1" x14ac:dyDescent="0.25">
      <c r="B25" s="21">
        <v>19</v>
      </c>
      <c r="C25" s="57" t="s">
        <v>642</v>
      </c>
      <c r="D25" s="22" t="s">
        <v>643</v>
      </c>
      <c r="E25" s="80" t="s">
        <v>644</v>
      </c>
    </row>
    <row r="26" spans="2:5" ht="20.85" customHeight="1" x14ac:dyDescent="0.25">
      <c r="B26" s="21">
        <v>20</v>
      </c>
      <c r="C26" s="57" t="s">
        <v>642</v>
      </c>
      <c r="D26" s="22" t="s">
        <v>645</v>
      </c>
      <c r="E26" s="80" t="s">
        <v>646</v>
      </c>
    </row>
    <row r="28" spans="2:5" ht="19.7" customHeight="1" x14ac:dyDescent="0.25">
      <c r="B28" s="129" t="s">
        <v>647</v>
      </c>
      <c r="C28" s="83"/>
      <c r="D28" s="83"/>
      <c r="E28" s="83"/>
    </row>
  </sheetData>
  <mergeCells count="2">
    <mergeCell ref="B28:E28"/>
    <mergeCell ref="B1:D1"/>
  </mergeCells>
  <hyperlinks>
    <hyperlink ref="E1" location="'Portada'!A1" display="← Portada" xr:uid="{00000000-0004-0000-0B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pageSetUpPr fitToPage="1"/>
  </sheetPr>
  <dimension ref="B1:I69"/>
  <sheetViews>
    <sheetView showGridLines="0" zoomScale="90" workbookViewId="0">
      <pane xSplit="1" ySplit="7" topLeftCell="B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11" customWidth="1"/>
    <col min="3" max="3" width="9" customWidth="1"/>
    <col min="4" max="4" width="22" customWidth="1"/>
    <col min="5" max="5" width="13" customWidth="1"/>
    <col min="6" max="7" width="15" customWidth="1"/>
    <col min="8" max="9" width="14" customWidth="1"/>
  </cols>
  <sheetData>
    <row r="1" spans="2:9" ht="20.100000000000001" customHeight="1" x14ac:dyDescent="0.25">
      <c r="B1" s="116" t="s">
        <v>49</v>
      </c>
      <c r="C1" s="83"/>
      <c r="D1" s="83"/>
      <c r="E1" s="83"/>
      <c r="F1" s="83"/>
      <c r="G1" s="83"/>
      <c r="H1" s="83"/>
      <c r="I1" s="14" t="s">
        <v>50</v>
      </c>
    </row>
    <row r="2" spans="2:9" ht="30" customHeight="1" x14ac:dyDescent="0.25">
      <c r="B2" s="15" t="s">
        <v>648</v>
      </c>
    </row>
    <row r="3" spans="2:9" ht="20.100000000000001" customHeight="1" x14ac:dyDescent="0.25">
      <c r="B3" s="16" t="s">
        <v>649</v>
      </c>
    </row>
    <row r="4" spans="2:9" ht="3" customHeight="1" x14ac:dyDescent="0.25">
      <c r="B4" s="2"/>
      <c r="C4" s="2"/>
      <c r="D4" s="2"/>
      <c r="E4" s="2"/>
      <c r="F4" s="2"/>
      <c r="G4" s="2"/>
      <c r="H4" s="2"/>
      <c r="I4" s="2"/>
    </row>
    <row r="5" spans="2:9" ht="9.9499999999999993" customHeight="1" x14ac:dyDescent="0.25"/>
    <row r="7" spans="2:9" ht="39.950000000000003" customHeight="1" x14ac:dyDescent="0.25">
      <c r="B7" s="20" t="s">
        <v>650</v>
      </c>
      <c r="C7" s="20" t="s">
        <v>96</v>
      </c>
      <c r="D7" s="20" t="s">
        <v>83</v>
      </c>
      <c r="E7" s="20" t="s">
        <v>651</v>
      </c>
      <c r="F7" s="20" t="s">
        <v>652</v>
      </c>
      <c r="G7" s="20" t="s">
        <v>653</v>
      </c>
      <c r="H7" s="20" t="s">
        <v>654</v>
      </c>
      <c r="I7" s="20" t="s">
        <v>353</v>
      </c>
    </row>
    <row r="8" spans="2:9" ht="18.95" customHeight="1" x14ac:dyDescent="0.25">
      <c r="B8" s="57" t="s">
        <v>346</v>
      </c>
      <c r="C8" s="56">
        <v>0</v>
      </c>
      <c r="D8" s="57" t="s">
        <v>357</v>
      </c>
      <c r="E8" s="81">
        <v>0.48389447949095249</v>
      </c>
      <c r="F8" s="81">
        <v>0.37455089817181669</v>
      </c>
      <c r="G8" s="81">
        <v>0.4461490722776878</v>
      </c>
      <c r="H8" s="81">
        <v>0.33486945897742149</v>
      </c>
      <c r="I8" s="81">
        <v>0.48389447949095371</v>
      </c>
    </row>
    <row r="9" spans="2:9" ht="18.95" customHeight="1" x14ac:dyDescent="0.25">
      <c r="B9" s="22" t="s">
        <v>346</v>
      </c>
      <c r="C9" s="21">
        <v>1</v>
      </c>
      <c r="D9" s="22" t="s">
        <v>120</v>
      </c>
      <c r="E9" s="24">
        <v>0.32590431261282271</v>
      </c>
      <c r="F9" s="24">
        <v>0.20569475255256781</v>
      </c>
      <c r="G9" s="24">
        <v>0.30812428035956368</v>
      </c>
      <c r="H9" s="24">
        <v>0.18998909103927439</v>
      </c>
      <c r="I9" s="24">
        <v>0.248209718368572</v>
      </c>
    </row>
    <row r="10" spans="2:9" ht="18.95" customHeight="1" x14ac:dyDescent="0.25">
      <c r="B10" s="22" t="s">
        <v>346</v>
      </c>
      <c r="C10" s="21">
        <v>2</v>
      </c>
      <c r="D10" s="22" t="s">
        <v>121</v>
      </c>
      <c r="E10" s="24">
        <v>0.40470974276953048</v>
      </c>
      <c r="F10" s="24">
        <v>0.31300831626932429</v>
      </c>
      <c r="G10" s="24">
        <v>0.35362936047350069</v>
      </c>
      <c r="H10" s="24">
        <v>0.26305276683124268</v>
      </c>
      <c r="I10" s="24">
        <v>0.50505065400726801</v>
      </c>
    </row>
    <row r="11" spans="2:9" ht="18.95" customHeight="1" x14ac:dyDescent="0.25">
      <c r="B11" s="22" t="s">
        <v>346</v>
      </c>
      <c r="C11" s="21">
        <v>3</v>
      </c>
      <c r="D11" s="22" t="s">
        <v>122</v>
      </c>
      <c r="E11" s="24">
        <v>0.64535982095416022</v>
      </c>
      <c r="F11" s="24">
        <v>0.49693680235093429</v>
      </c>
      <c r="G11" s="24">
        <v>0.61400212655570641</v>
      </c>
      <c r="H11" s="24">
        <v>0.45790340873304608</v>
      </c>
      <c r="I11" s="24">
        <v>0.58063904999986116</v>
      </c>
    </row>
    <row r="12" spans="2:9" ht="18.95" customHeight="1" x14ac:dyDescent="0.25">
      <c r="B12" s="22" t="s">
        <v>346</v>
      </c>
      <c r="C12" s="21">
        <v>4</v>
      </c>
      <c r="D12" s="22" t="s">
        <v>123</v>
      </c>
      <c r="E12" s="24">
        <v>0.51234962675957318</v>
      </c>
      <c r="F12" s="24">
        <v>0.41518493068832568</v>
      </c>
      <c r="G12" s="24">
        <v>0.4679523555859727</v>
      </c>
      <c r="H12" s="24">
        <v>0.36512826053316177</v>
      </c>
      <c r="I12" s="24">
        <v>0.55734340719220932</v>
      </c>
    </row>
    <row r="13" spans="2:9" ht="18.95" customHeight="1" x14ac:dyDescent="0.25">
      <c r="B13" s="22" t="s">
        <v>346</v>
      </c>
      <c r="C13" s="21">
        <v>5</v>
      </c>
      <c r="D13" s="22" t="s">
        <v>124</v>
      </c>
      <c r="E13" s="24">
        <v>0.56862949695878473</v>
      </c>
      <c r="F13" s="24">
        <v>0.42506057876678482</v>
      </c>
      <c r="G13" s="24">
        <v>0.53227928174649275</v>
      </c>
      <c r="H13" s="24">
        <v>0.38211801325620631</v>
      </c>
      <c r="I13" s="24">
        <v>0.64641785456913581</v>
      </c>
    </row>
    <row r="14" spans="2:9" ht="18.95" customHeight="1" x14ac:dyDescent="0.25">
      <c r="B14" s="22" t="s">
        <v>346</v>
      </c>
      <c r="C14" s="21">
        <v>6</v>
      </c>
      <c r="D14" s="22" t="s">
        <v>125</v>
      </c>
      <c r="E14" s="24">
        <v>0.50741372266285201</v>
      </c>
      <c r="F14" s="24">
        <v>0.32027382734121251</v>
      </c>
      <c r="G14" s="24">
        <v>0.48077375315170162</v>
      </c>
      <c r="H14" s="24">
        <v>0.29416078726942768</v>
      </c>
      <c r="I14" s="24">
        <v>0.35985430295058157</v>
      </c>
    </row>
    <row r="15" spans="2:9" ht="18.95" customHeight="1" x14ac:dyDescent="0.25">
      <c r="B15" s="22" t="s">
        <v>346</v>
      </c>
      <c r="C15" s="21">
        <v>7</v>
      </c>
      <c r="D15" s="22" t="s">
        <v>126</v>
      </c>
      <c r="E15" s="24">
        <v>0.55975085511553613</v>
      </c>
      <c r="F15" s="24">
        <v>0.42911116092156659</v>
      </c>
      <c r="G15" s="24">
        <v>0.51558235988826107</v>
      </c>
      <c r="H15" s="24">
        <v>0.38287672484670571</v>
      </c>
      <c r="I15" s="24">
        <v>0.57061376678171205</v>
      </c>
    </row>
    <row r="16" spans="2:9" ht="18.95" customHeight="1" x14ac:dyDescent="0.25">
      <c r="B16" s="22" t="s">
        <v>346</v>
      </c>
      <c r="C16" s="21">
        <v>8</v>
      </c>
      <c r="D16" s="22" t="s">
        <v>127</v>
      </c>
      <c r="E16" s="24">
        <v>0.4909575772160204</v>
      </c>
      <c r="F16" s="24">
        <v>0.35828801555585599</v>
      </c>
      <c r="G16" s="24">
        <v>0.4620366668749461</v>
      </c>
      <c r="H16" s="24">
        <v>0.32894405987806541</v>
      </c>
      <c r="I16" s="24">
        <v>0.58445401216823745</v>
      </c>
    </row>
    <row r="17" spans="2:9" ht="18.95" customHeight="1" x14ac:dyDescent="0.25">
      <c r="B17" s="22" t="s">
        <v>346</v>
      </c>
      <c r="C17" s="21">
        <v>9</v>
      </c>
      <c r="D17" s="22" t="s">
        <v>128</v>
      </c>
      <c r="E17" s="24">
        <v>0.38406273931778911</v>
      </c>
      <c r="F17" s="24">
        <v>0.27810285453502909</v>
      </c>
      <c r="G17" s="24">
        <v>0.35863426777031782</v>
      </c>
      <c r="H17" s="24">
        <v>0.25371659588938938</v>
      </c>
      <c r="I17" s="24">
        <v>0.2708793323927241</v>
      </c>
    </row>
    <row r="18" spans="2:9" ht="18.95" customHeight="1" x14ac:dyDescent="0.25">
      <c r="B18" s="22" t="s">
        <v>346</v>
      </c>
      <c r="C18" s="21">
        <v>10</v>
      </c>
      <c r="D18" s="22" t="s">
        <v>129</v>
      </c>
      <c r="E18" s="24">
        <v>0.47317426978422489</v>
      </c>
      <c r="F18" s="24">
        <v>0.37834150783869303</v>
      </c>
      <c r="G18" s="24">
        <v>0.41927002939979519</v>
      </c>
      <c r="H18" s="24">
        <v>0.32292366847860332</v>
      </c>
      <c r="I18" s="24">
        <v>0.49392230255605363</v>
      </c>
    </row>
    <row r="19" spans="2:9" ht="18.95" customHeight="1" x14ac:dyDescent="0.25">
      <c r="B19" s="22" t="s">
        <v>346</v>
      </c>
      <c r="C19" s="21">
        <v>11</v>
      </c>
      <c r="D19" s="22" t="s">
        <v>130</v>
      </c>
      <c r="E19" s="24">
        <v>0.45139816159083068</v>
      </c>
      <c r="F19" s="24">
        <v>0.39265059915148581</v>
      </c>
      <c r="G19" s="24">
        <v>0.40865925177789131</v>
      </c>
      <c r="H19" s="24">
        <v>0.34957563844090073</v>
      </c>
      <c r="I19" s="24">
        <v>0.40472663503935652</v>
      </c>
    </row>
    <row r="20" spans="2:9" ht="18.95" customHeight="1" x14ac:dyDescent="0.25">
      <c r="B20" s="22" t="s">
        <v>346</v>
      </c>
      <c r="C20" s="21">
        <v>12</v>
      </c>
      <c r="D20" s="22" t="s">
        <v>131</v>
      </c>
      <c r="E20" s="24">
        <v>0.42574606068908699</v>
      </c>
      <c r="F20" s="24">
        <v>0.35372485042403062</v>
      </c>
      <c r="G20" s="24">
        <v>0.38309757938827299</v>
      </c>
      <c r="H20" s="24">
        <v>0.31080792497897691</v>
      </c>
      <c r="I20" s="24">
        <v>0.47263051557608132</v>
      </c>
    </row>
    <row r="21" spans="2:9" ht="18.95" customHeight="1" x14ac:dyDescent="0.25">
      <c r="B21" s="22" t="s">
        <v>346</v>
      </c>
      <c r="C21" s="21">
        <v>13</v>
      </c>
      <c r="D21" s="22" t="s">
        <v>132</v>
      </c>
      <c r="E21" s="24">
        <v>0.35012266872247438</v>
      </c>
      <c r="F21" s="24">
        <v>0.26499442045270888</v>
      </c>
      <c r="G21" s="24">
        <v>0.31708942811796581</v>
      </c>
      <c r="H21" s="24">
        <v>0.23315023213829431</v>
      </c>
      <c r="I21" s="24">
        <v>0.37538181843024382</v>
      </c>
    </row>
    <row r="22" spans="2:9" ht="18.95" customHeight="1" x14ac:dyDescent="0.25">
      <c r="B22" s="22" t="s">
        <v>346</v>
      </c>
      <c r="C22" s="21">
        <v>14</v>
      </c>
      <c r="D22" s="22" t="s">
        <v>133</v>
      </c>
      <c r="E22" s="24">
        <v>0.52337611484372393</v>
      </c>
      <c r="F22" s="24">
        <v>0.37763389056376367</v>
      </c>
      <c r="G22" s="24">
        <v>0.48884808445805628</v>
      </c>
      <c r="H22" s="24">
        <v>0.33985075039290252</v>
      </c>
      <c r="I22" s="24">
        <v>0.39738312042184598</v>
      </c>
    </row>
    <row r="23" spans="2:9" ht="18.95" customHeight="1" x14ac:dyDescent="0.25">
      <c r="B23" s="22" t="s">
        <v>346</v>
      </c>
      <c r="C23" s="21">
        <v>15</v>
      </c>
      <c r="D23" s="22" t="s">
        <v>134</v>
      </c>
      <c r="E23" s="24">
        <v>0.42112078146425552</v>
      </c>
      <c r="F23" s="24">
        <v>0.30212285997542221</v>
      </c>
      <c r="G23" s="24">
        <v>0.39561097588247768</v>
      </c>
      <c r="H23" s="24">
        <v>0.27603539712213437</v>
      </c>
      <c r="I23" s="24">
        <v>0.49292850510122449</v>
      </c>
    </row>
    <row r="24" spans="2:9" ht="18.95" customHeight="1" x14ac:dyDescent="0.25">
      <c r="B24" s="22" t="s">
        <v>346</v>
      </c>
      <c r="C24" s="21">
        <v>16</v>
      </c>
      <c r="D24" s="22" t="s">
        <v>135</v>
      </c>
      <c r="E24" s="24">
        <v>0.4413586665388472</v>
      </c>
      <c r="F24" s="24">
        <v>0.35336729360838443</v>
      </c>
      <c r="G24" s="24">
        <v>0.40690095058410858</v>
      </c>
      <c r="H24" s="24">
        <v>0.31918039564641931</v>
      </c>
      <c r="I24" s="24">
        <v>0.4517257906024511</v>
      </c>
    </row>
    <row r="25" spans="2:9" ht="18.95" customHeight="1" x14ac:dyDescent="0.25">
      <c r="B25" s="22" t="s">
        <v>346</v>
      </c>
      <c r="C25" s="21">
        <v>17</v>
      </c>
      <c r="D25" s="22" t="s">
        <v>136</v>
      </c>
      <c r="E25" s="24">
        <v>0.4963659550873139</v>
      </c>
      <c r="F25" s="24">
        <v>0.30575910070059248</v>
      </c>
      <c r="G25" s="24">
        <v>0.45409613076783362</v>
      </c>
      <c r="H25" s="24">
        <v>0.26232007203019447</v>
      </c>
      <c r="I25" s="24">
        <v>0.61038163985095628</v>
      </c>
    </row>
    <row r="26" spans="2:9" ht="18.95" customHeight="1" x14ac:dyDescent="0.25">
      <c r="B26" s="22" t="s">
        <v>346</v>
      </c>
      <c r="C26" s="21">
        <v>18</v>
      </c>
      <c r="D26" s="22" t="s">
        <v>137</v>
      </c>
      <c r="E26" s="24">
        <v>0.50943385916342931</v>
      </c>
      <c r="F26" s="24">
        <v>0.41390076943100113</v>
      </c>
      <c r="G26" s="24">
        <v>0.478513604340289</v>
      </c>
      <c r="H26" s="24">
        <v>0.37997495263026643</v>
      </c>
      <c r="I26" s="24">
        <v>0.49708091818111833</v>
      </c>
    </row>
    <row r="27" spans="2:9" ht="18.95" customHeight="1" x14ac:dyDescent="0.25">
      <c r="B27" s="22" t="s">
        <v>346</v>
      </c>
      <c r="C27" s="21">
        <v>19</v>
      </c>
      <c r="D27" s="22" t="s">
        <v>138</v>
      </c>
      <c r="E27" s="24">
        <v>0.66761074680905574</v>
      </c>
      <c r="F27" s="24">
        <v>0.51360789173364085</v>
      </c>
      <c r="G27" s="24">
        <v>0.62292009480667498</v>
      </c>
      <c r="H27" s="24">
        <v>0.4576256800330234</v>
      </c>
      <c r="I27" s="24">
        <v>0.65391229783080329</v>
      </c>
    </row>
    <row r="28" spans="2:9" ht="18.95" customHeight="1" x14ac:dyDescent="0.25">
      <c r="B28" s="57" t="s">
        <v>272</v>
      </c>
      <c r="C28" s="56">
        <v>0</v>
      </c>
      <c r="D28" s="57" t="s">
        <v>357</v>
      </c>
      <c r="E28" s="81">
        <v>0.47603691541823467</v>
      </c>
      <c r="F28" s="81">
        <v>0.36594112933411738</v>
      </c>
      <c r="G28" s="81">
        <v>0.44008703528996151</v>
      </c>
      <c r="H28" s="81">
        <v>0.32807556459679238</v>
      </c>
      <c r="I28" s="81">
        <v>0.47603691541823528</v>
      </c>
    </row>
    <row r="29" spans="2:9" ht="18.95" customHeight="1" x14ac:dyDescent="0.25">
      <c r="B29" s="22" t="s">
        <v>272</v>
      </c>
      <c r="C29" s="21">
        <v>1</v>
      </c>
      <c r="D29" s="22" t="s">
        <v>120</v>
      </c>
      <c r="E29" s="24">
        <v>0.31927654653191478</v>
      </c>
      <c r="F29" s="24">
        <v>0.2009337096328338</v>
      </c>
      <c r="G29" s="24">
        <v>0.30197168726650159</v>
      </c>
      <c r="H29" s="24">
        <v>0.18536450683545441</v>
      </c>
      <c r="I29" s="24">
        <v>0.28949644019998921</v>
      </c>
    </row>
    <row r="30" spans="2:9" ht="18.95" customHeight="1" x14ac:dyDescent="0.25">
      <c r="B30" s="22" t="s">
        <v>272</v>
      </c>
      <c r="C30" s="21">
        <v>2</v>
      </c>
      <c r="D30" s="22" t="s">
        <v>121</v>
      </c>
      <c r="E30" s="24">
        <v>0.38387726544689599</v>
      </c>
      <c r="F30" s="24">
        <v>0.29991647378925329</v>
      </c>
      <c r="G30" s="24">
        <v>0.33301084869680181</v>
      </c>
      <c r="H30" s="24">
        <v>0.25091082974036361</v>
      </c>
      <c r="I30" s="24">
        <v>0.53350854688214344</v>
      </c>
    </row>
    <row r="31" spans="2:9" ht="18.95" customHeight="1" x14ac:dyDescent="0.25">
      <c r="B31" s="22" t="s">
        <v>272</v>
      </c>
      <c r="C31" s="21">
        <v>3</v>
      </c>
      <c r="D31" s="22" t="s">
        <v>122</v>
      </c>
      <c r="E31" s="24">
        <v>0.62129685868136242</v>
      </c>
      <c r="F31" s="24">
        <v>0.47942471981809071</v>
      </c>
      <c r="G31" s="24">
        <v>0.59055062671657366</v>
      </c>
      <c r="H31" s="24">
        <v>0.44303193287217962</v>
      </c>
      <c r="I31" s="24">
        <v>0.63763546987979514</v>
      </c>
    </row>
    <row r="32" spans="2:9" ht="18.95" customHeight="1" x14ac:dyDescent="0.25">
      <c r="B32" s="22" t="s">
        <v>272</v>
      </c>
      <c r="C32" s="21">
        <v>4</v>
      </c>
      <c r="D32" s="22" t="s">
        <v>123</v>
      </c>
      <c r="E32" s="24">
        <v>0.53934414929589136</v>
      </c>
      <c r="F32" s="24">
        <v>0.42103730189422989</v>
      </c>
      <c r="G32" s="24">
        <v>0.48940284022601821</v>
      </c>
      <c r="H32" s="24">
        <v>0.36385218706794697</v>
      </c>
      <c r="I32" s="24">
        <v>0.62384643687615327</v>
      </c>
    </row>
    <row r="33" spans="2:9" ht="18.95" customHeight="1" x14ac:dyDescent="0.25">
      <c r="B33" s="22" t="s">
        <v>272</v>
      </c>
      <c r="C33" s="21">
        <v>5</v>
      </c>
      <c r="D33" s="22" t="s">
        <v>124</v>
      </c>
      <c r="E33" s="24">
        <v>0.56332330855333812</v>
      </c>
      <c r="F33" s="24">
        <v>0.41847973572744429</v>
      </c>
      <c r="G33" s="24">
        <v>0.52864689029586898</v>
      </c>
      <c r="H33" s="24">
        <v>0.37883439398582669</v>
      </c>
      <c r="I33" s="24">
        <v>0.60890914690363207</v>
      </c>
    </row>
    <row r="34" spans="2:9" ht="18.95" customHeight="1" x14ac:dyDescent="0.25">
      <c r="B34" s="22" t="s">
        <v>272</v>
      </c>
      <c r="C34" s="21">
        <v>6</v>
      </c>
      <c r="D34" s="22" t="s">
        <v>125</v>
      </c>
      <c r="E34" s="24">
        <v>0.48450517869219872</v>
      </c>
      <c r="F34" s="24">
        <v>0.31144226449257179</v>
      </c>
      <c r="G34" s="24">
        <v>0.46409550942476879</v>
      </c>
      <c r="H34" s="24">
        <v>0.2911501922344828</v>
      </c>
      <c r="I34" s="24">
        <v>0.26672928294474618</v>
      </c>
    </row>
    <row r="35" spans="2:9" ht="18.95" customHeight="1" x14ac:dyDescent="0.25">
      <c r="B35" s="22" t="s">
        <v>272</v>
      </c>
      <c r="C35" s="21">
        <v>7</v>
      </c>
      <c r="D35" s="22" t="s">
        <v>126</v>
      </c>
      <c r="E35" s="24">
        <v>0.54319178976951099</v>
      </c>
      <c r="F35" s="24">
        <v>0.42346900941103871</v>
      </c>
      <c r="G35" s="24">
        <v>0.50285777429059364</v>
      </c>
      <c r="H35" s="24">
        <v>0.38227890864500091</v>
      </c>
      <c r="I35" s="24">
        <v>0.52262231204136145</v>
      </c>
    </row>
    <row r="36" spans="2:9" ht="18.95" customHeight="1" x14ac:dyDescent="0.25">
      <c r="B36" s="22" t="s">
        <v>272</v>
      </c>
      <c r="C36" s="21">
        <v>8</v>
      </c>
      <c r="D36" s="22" t="s">
        <v>127</v>
      </c>
      <c r="E36" s="24">
        <v>0.47816892435013131</v>
      </c>
      <c r="F36" s="24">
        <v>0.34564175905038619</v>
      </c>
      <c r="G36" s="24">
        <v>0.45156510461574639</v>
      </c>
      <c r="H36" s="24">
        <v>0.31860324495449238</v>
      </c>
      <c r="I36" s="24">
        <v>0.54713296413655332</v>
      </c>
    </row>
    <row r="37" spans="2:9" ht="18.95" customHeight="1" x14ac:dyDescent="0.25">
      <c r="B37" s="22" t="s">
        <v>272</v>
      </c>
      <c r="C37" s="21">
        <v>9</v>
      </c>
      <c r="D37" s="22" t="s">
        <v>128</v>
      </c>
      <c r="E37" s="24">
        <v>0.38137016840375959</v>
      </c>
      <c r="F37" s="24">
        <v>0.27021297182409298</v>
      </c>
      <c r="G37" s="24">
        <v>0.3606796652474264</v>
      </c>
      <c r="H37" s="24">
        <v>0.24964813161206439</v>
      </c>
      <c r="I37" s="24">
        <v>0.2455388985385363</v>
      </c>
    </row>
    <row r="38" spans="2:9" ht="18.95" customHeight="1" x14ac:dyDescent="0.25">
      <c r="B38" s="22" t="s">
        <v>272</v>
      </c>
      <c r="C38" s="21">
        <v>10</v>
      </c>
      <c r="D38" s="22" t="s">
        <v>129</v>
      </c>
      <c r="E38" s="24">
        <v>0.46551580541424381</v>
      </c>
      <c r="F38" s="24">
        <v>0.36539742896401961</v>
      </c>
      <c r="G38" s="24">
        <v>0.41781034817179519</v>
      </c>
      <c r="H38" s="24">
        <v>0.31561352336132509</v>
      </c>
      <c r="I38" s="24">
        <v>0.47824793605701921</v>
      </c>
    </row>
    <row r="39" spans="2:9" ht="18.95" customHeight="1" x14ac:dyDescent="0.25">
      <c r="B39" s="22" t="s">
        <v>272</v>
      </c>
      <c r="C39" s="21">
        <v>11</v>
      </c>
      <c r="D39" s="22" t="s">
        <v>130</v>
      </c>
      <c r="E39" s="24">
        <v>0.45272714740864162</v>
      </c>
      <c r="F39" s="24">
        <v>0.38762073469528169</v>
      </c>
      <c r="G39" s="24">
        <v>0.41103045206590372</v>
      </c>
      <c r="H39" s="24">
        <v>0.34559053992677108</v>
      </c>
      <c r="I39" s="24">
        <v>0.42687842851851138</v>
      </c>
    </row>
    <row r="40" spans="2:9" ht="18.95" customHeight="1" x14ac:dyDescent="0.25">
      <c r="B40" s="22" t="s">
        <v>272</v>
      </c>
      <c r="C40" s="21">
        <v>12</v>
      </c>
      <c r="D40" s="22" t="s">
        <v>131</v>
      </c>
      <c r="E40" s="24">
        <v>0.41281103272988351</v>
      </c>
      <c r="F40" s="24">
        <v>0.34601994075158671</v>
      </c>
      <c r="G40" s="24">
        <v>0.36721513865830657</v>
      </c>
      <c r="H40" s="24">
        <v>0.3009148735146237</v>
      </c>
      <c r="I40" s="24">
        <v>0.48663475094889092</v>
      </c>
    </row>
    <row r="41" spans="2:9" ht="18.95" customHeight="1" x14ac:dyDescent="0.25">
      <c r="B41" s="22" t="s">
        <v>272</v>
      </c>
      <c r="C41" s="21">
        <v>13</v>
      </c>
      <c r="D41" s="22" t="s">
        <v>132</v>
      </c>
      <c r="E41" s="24">
        <v>0.34102976578944427</v>
      </c>
      <c r="F41" s="24">
        <v>0.25676675162499379</v>
      </c>
      <c r="G41" s="24">
        <v>0.31546626995976179</v>
      </c>
      <c r="H41" s="24">
        <v>0.2323499009326879</v>
      </c>
      <c r="I41" s="24">
        <v>0.38904244534380122</v>
      </c>
    </row>
    <row r="42" spans="2:9" ht="18.95" customHeight="1" x14ac:dyDescent="0.25">
      <c r="B42" s="22" t="s">
        <v>272</v>
      </c>
      <c r="C42" s="21">
        <v>14</v>
      </c>
      <c r="D42" s="22" t="s">
        <v>133</v>
      </c>
      <c r="E42" s="24">
        <v>0.52225321052298979</v>
      </c>
      <c r="F42" s="24">
        <v>0.37443418692548652</v>
      </c>
      <c r="G42" s="24">
        <v>0.48678221978440611</v>
      </c>
      <c r="H42" s="24">
        <v>0.33681594125992542</v>
      </c>
      <c r="I42" s="24">
        <v>0.4091853153755744</v>
      </c>
    </row>
    <row r="43" spans="2:9" ht="18.95" customHeight="1" x14ac:dyDescent="0.25">
      <c r="B43" s="22" t="s">
        <v>272</v>
      </c>
      <c r="C43" s="21">
        <v>15</v>
      </c>
      <c r="D43" s="22" t="s">
        <v>134</v>
      </c>
      <c r="E43" s="24">
        <v>0.39888143649085173</v>
      </c>
      <c r="F43" s="24">
        <v>0.27714092144092178</v>
      </c>
      <c r="G43" s="24">
        <v>0.38166322702552158</v>
      </c>
      <c r="H43" s="24">
        <v>0.26037870842013278</v>
      </c>
      <c r="I43" s="24">
        <v>0.44223865266662099</v>
      </c>
    </row>
    <row r="44" spans="2:9" ht="18.95" customHeight="1" x14ac:dyDescent="0.25">
      <c r="B44" s="22" t="s">
        <v>272</v>
      </c>
      <c r="C44" s="21">
        <v>16</v>
      </c>
      <c r="D44" s="22" t="s">
        <v>135</v>
      </c>
      <c r="E44" s="24">
        <v>0.43508874691882721</v>
      </c>
      <c r="F44" s="24">
        <v>0.34736592015083517</v>
      </c>
      <c r="G44" s="24">
        <v>0.39835384743286051</v>
      </c>
      <c r="H44" s="24">
        <v>0.30983761690337602</v>
      </c>
      <c r="I44" s="24">
        <v>0.49347530277688301</v>
      </c>
    </row>
    <row r="45" spans="2:9" ht="18.95" customHeight="1" x14ac:dyDescent="0.25">
      <c r="B45" s="22" t="s">
        <v>272</v>
      </c>
      <c r="C45" s="21">
        <v>17</v>
      </c>
      <c r="D45" s="22" t="s">
        <v>136</v>
      </c>
      <c r="E45" s="24">
        <v>0.47549383154720071</v>
      </c>
      <c r="F45" s="24">
        <v>0.27949293042118761</v>
      </c>
      <c r="G45" s="24">
        <v>0.43896720207401702</v>
      </c>
      <c r="H45" s="24">
        <v>0.24387050870941099</v>
      </c>
      <c r="I45" s="24">
        <v>0.62497426512451093</v>
      </c>
    </row>
    <row r="46" spans="2:9" ht="18.95" customHeight="1" x14ac:dyDescent="0.25">
      <c r="B46" s="22" t="s">
        <v>272</v>
      </c>
      <c r="C46" s="21">
        <v>18</v>
      </c>
      <c r="D46" s="22" t="s">
        <v>137</v>
      </c>
      <c r="E46" s="24">
        <v>0.49924170382047739</v>
      </c>
      <c r="F46" s="24">
        <v>0.40202784245626161</v>
      </c>
      <c r="G46" s="24">
        <v>0.46879701378830613</v>
      </c>
      <c r="H46" s="24">
        <v>0.36880918762923692</v>
      </c>
      <c r="I46" s="24">
        <v>0.4956770292017863</v>
      </c>
    </row>
    <row r="47" spans="2:9" ht="18.95" customHeight="1" x14ac:dyDescent="0.25">
      <c r="B47" s="22" t="s">
        <v>272</v>
      </c>
      <c r="C47" s="21">
        <v>19</v>
      </c>
      <c r="D47" s="22" t="s">
        <v>138</v>
      </c>
      <c r="E47" s="24">
        <v>0.66864749003653079</v>
      </c>
      <c r="F47" s="24">
        <v>0.51705728342759405</v>
      </c>
      <c r="G47" s="24">
        <v>0.62179732115919206</v>
      </c>
      <c r="H47" s="24">
        <v>0.458053693285839</v>
      </c>
      <c r="I47" s="24">
        <v>0.6213110513959117</v>
      </c>
    </row>
    <row r="48" spans="2:9" ht="18.95" customHeight="1" x14ac:dyDescent="0.25">
      <c r="B48" s="57" t="s">
        <v>273</v>
      </c>
      <c r="C48" s="56">
        <v>0</v>
      </c>
      <c r="D48" s="57" t="s">
        <v>357</v>
      </c>
      <c r="E48" s="81">
        <v>0.49263396747665222</v>
      </c>
      <c r="F48" s="81">
        <v>0.38412701751623041</v>
      </c>
      <c r="G48" s="81">
        <v>0.452891505292908</v>
      </c>
      <c r="H48" s="81">
        <v>0.34242589221374409</v>
      </c>
      <c r="I48" s="81">
        <v>0.49263396747665339</v>
      </c>
    </row>
    <row r="49" spans="2:9" ht="18.95" customHeight="1" x14ac:dyDescent="0.25">
      <c r="B49" s="22" t="s">
        <v>273</v>
      </c>
      <c r="C49" s="21">
        <v>1</v>
      </c>
      <c r="D49" s="22" t="s">
        <v>120</v>
      </c>
      <c r="E49" s="24">
        <v>0.33395534761437418</v>
      </c>
      <c r="F49" s="24">
        <v>0.21147819794317749</v>
      </c>
      <c r="G49" s="24">
        <v>0.31559810211758238</v>
      </c>
      <c r="H49" s="24">
        <v>0.19560677410745481</v>
      </c>
      <c r="I49" s="24">
        <v>0.19805694615146269</v>
      </c>
    </row>
    <row r="50" spans="2:9" ht="18.95" customHeight="1" x14ac:dyDescent="0.25">
      <c r="B50" s="22" t="s">
        <v>273</v>
      </c>
      <c r="C50" s="21">
        <v>2</v>
      </c>
      <c r="D50" s="22" t="s">
        <v>121</v>
      </c>
      <c r="E50" s="24">
        <v>0.42771062621485112</v>
      </c>
      <c r="F50" s="24">
        <v>0.32746285944751091</v>
      </c>
      <c r="G50" s="24">
        <v>0.37639400717620292</v>
      </c>
      <c r="H50" s="24">
        <v>0.27645853108589957</v>
      </c>
      <c r="I50" s="24">
        <v>0.473630642504207</v>
      </c>
    </row>
    <row r="51" spans="2:9" ht="18.95" customHeight="1" x14ac:dyDescent="0.25">
      <c r="B51" s="22" t="s">
        <v>273</v>
      </c>
      <c r="C51" s="21">
        <v>3</v>
      </c>
      <c r="D51" s="22" t="s">
        <v>122</v>
      </c>
      <c r="E51" s="24">
        <v>0.67043819627191981</v>
      </c>
      <c r="F51" s="24">
        <v>0.51518786277214879</v>
      </c>
      <c r="G51" s="24">
        <v>0.63844323684224025</v>
      </c>
      <c r="H51" s="24">
        <v>0.47340243370510549</v>
      </c>
      <c r="I51" s="24">
        <v>0.52123748533325875</v>
      </c>
    </row>
    <row r="52" spans="2:9" ht="18.95" customHeight="1" x14ac:dyDescent="0.25">
      <c r="B52" s="22" t="s">
        <v>273</v>
      </c>
      <c r="C52" s="21">
        <v>4</v>
      </c>
      <c r="D52" s="22" t="s">
        <v>123</v>
      </c>
      <c r="E52" s="24">
        <v>0.48243826713210042</v>
      </c>
      <c r="F52" s="24">
        <v>0.40870019366148069</v>
      </c>
      <c r="G52" s="24">
        <v>0.44418408336005138</v>
      </c>
      <c r="H52" s="24">
        <v>0.36654221746749038</v>
      </c>
      <c r="I52" s="24">
        <v>0.48365453069822079</v>
      </c>
    </row>
    <row r="53" spans="2:9" ht="18.95" customHeight="1" x14ac:dyDescent="0.25">
      <c r="B53" s="22" t="s">
        <v>273</v>
      </c>
      <c r="C53" s="21">
        <v>5</v>
      </c>
      <c r="D53" s="22" t="s">
        <v>124</v>
      </c>
      <c r="E53" s="24">
        <v>0.57409443252575976</v>
      </c>
      <c r="F53" s="24">
        <v>0.43183830327228001</v>
      </c>
      <c r="G53" s="24">
        <v>0.53602034476855065</v>
      </c>
      <c r="H53" s="24">
        <v>0.38549986975430611</v>
      </c>
      <c r="I53" s="24">
        <v>0.68504872383530535</v>
      </c>
    </row>
    <row r="54" spans="2:9" ht="18.95" customHeight="1" x14ac:dyDescent="0.25">
      <c r="B54" s="22" t="s">
        <v>273</v>
      </c>
      <c r="C54" s="21">
        <v>6</v>
      </c>
      <c r="D54" s="22" t="s">
        <v>125</v>
      </c>
      <c r="E54" s="24">
        <v>0.53065463756083042</v>
      </c>
      <c r="F54" s="24">
        <v>0.32923352381272719</v>
      </c>
      <c r="G54" s="24">
        <v>0.49769397486469802</v>
      </c>
      <c r="H54" s="24">
        <v>0.2972150618269494</v>
      </c>
      <c r="I54" s="24">
        <v>0.45433043672847118</v>
      </c>
    </row>
    <row r="55" spans="2:9" ht="18.95" customHeight="1" x14ac:dyDescent="0.25">
      <c r="B55" s="22" t="s">
        <v>273</v>
      </c>
      <c r="C55" s="21">
        <v>7</v>
      </c>
      <c r="D55" s="22" t="s">
        <v>126</v>
      </c>
      <c r="E55" s="24">
        <v>0.57804809162941784</v>
      </c>
      <c r="F55" s="24">
        <v>0.43534555751811521</v>
      </c>
      <c r="G55" s="24">
        <v>0.52964261916959432</v>
      </c>
      <c r="H55" s="24">
        <v>0.38353729259046709</v>
      </c>
      <c r="I55" s="24">
        <v>0.62364278621487967</v>
      </c>
    </row>
    <row r="56" spans="2:9" ht="18.95" customHeight="1" x14ac:dyDescent="0.25">
      <c r="B56" s="22" t="s">
        <v>273</v>
      </c>
      <c r="C56" s="21">
        <v>8</v>
      </c>
      <c r="D56" s="22" t="s">
        <v>127</v>
      </c>
      <c r="E56" s="24">
        <v>0.50467010820607838</v>
      </c>
      <c r="F56" s="24">
        <v>0.37184786318468749</v>
      </c>
      <c r="G56" s="24">
        <v>0.47326471595090452</v>
      </c>
      <c r="H56" s="24">
        <v>0.34003191616667899</v>
      </c>
      <c r="I56" s="24">
        <v>0.62447120812176304</v>
      </c>
    </row>
    <row r="57" spans="2:9" ht="18.95" customHeight="1" x14ac:dyDescent="0.25">
      <c r="B57" s="22" t="s">
        <v>273</v>
      </c>
      <c r="C57" s="21">
        <v>9</v>
      </c>
      <c r="D57" s="22" t="s">
        <v>128</v>
      </c>
      <c r="E57" s="24">
        <v>0.38723675263482088</v>
      </c>
      <c r="F57" s="24">
        <v>0.28740347969733993</v>
      </c>
      <c r="G57" s="24">
        <v>0.35622314507819558</v>
      </c>
      <c r="H57" s="24">
        <v>0.25851251778277878</v>
      </c>
      <c r="I57" s="24">
        <v>0.30075073674217651</v>
      </c>
    </row>
    <row r="58" spans="2:9" ht="18.95" customHeight="1" x14ac:dyDescent="0.25">
      <c r="B58" s="22" t="s">
        <v>273</v>
      </c>
      <c r="C58" s="21">
        <v>10</v>
      </c>
      <c r="D58" s="22" t="s">
        <v>129</v>
      </c>
      <c r="E58" s="24">
        <v>0.48177739952254878</v>
      </c>
      <c r="F58" s="24">
        <v>0.39288222834376052</v>
      </c>
      <c r="G58" s="24">
        <v>0.42090976112333778</v>
      </c>
      <c r="H58" s="24">
        <v>0.33113551406692099</v>
      </c>
      <c r="I58" s="24">
        <v>0.51153008944944145</v>
      </c>
    </row>
    <row r="59" spans="2:9" ht="18.95" customHeight="1" x14ac:dyDescent="0.25">
      <c r="B59" s="22" t="s">
        <v>273</v>
      </c>
      <c r="C59" s="21">
        <v>11</v>
      </c>
      <c r="D59" s="22" t="s">
        <v>130</v>
      </c>
      <c r="E59" s="24">
        <v>0.44987296254304449</v>
      </c>
      <c r="F59" s="24">
        <v>0.39842307947165417</v>
      </c>
      <c r="G59" s="24">
        <v>0.40593796433229268</v>
      </c>
      <c r="H59" s="24">
        <v>0.35414910218869061</v>
      </c>
      <c r="I59" s="24">
        <v>0.37930432137101572</v>
      </c>
    </row>
    <row r="60" spans="2:9" ht="18.95" customHeight="1" x14ac:dyDescent="0.25">
      <c r="B60" s="22" t="s">
        <v>273</v>
      </c>
      <c r="C60" s="21">
        <v>12</v>
      </c>
      <c r="D60" s="22" t="s">
        <v>131</v>
      </c>
      <c r="E60" s="24">
        <v>0.4387455395291735</v>
      </c>
      <c r="F60" s="24">
        <v>0.36146815106223662</v>
      </c>
      <c r="G60" s="24">
        <v>0.39905915696269367</v>
      </c>
      <c r="H60" s="24">
        <v>0.32075027018150448</v>
      </c>
      <c r="I60" s="24">
        <v>0.45855650182252777</v>
      </c>
    </row>
    <row r="61" spans="2:9" ht="18.95" customHeight="1" x14ac:dyDescent="0.25">
      <c r="B61" s="22" t="s">
        <v>273</v>
      </c>
      <c r="C61" s="21">
        <v>13</v>
      </c>
      <c r="D61" s="22" t="s">
        <v>132</v>
      </c>
      <c r="E61" s="24">
        <v>0.3639340881510767</v>
      </c>
      <c r="F61" s="24">
        <v>0.27749161589580862</v>
      </c>
      <c r="G61" s="24">
        <v>0.3195548803818935</v>
      </c>
      <c r="H61" s="24">
        <v>0.23436587361647121</v>
      </c>
      <c r="I61" s="24">
        <v>0.35463237797647562</v>
      </c>
    </row>
    <row r="62" spans="2:9" ht="18.95" customHeight="1" x14ac:dyDescent="0.25">
      <c r="B62" s="22" t="s">
        <v>273</v>
      </c>
      <c r="C62" s="21">
        <v>14</v>
      </c>
      <c r="D62" s="22" t="s">
        <v>133</v>
      </c>
      <c r="E62" s="24">
        <v>0.52515811970790582</v>
      </c>
      <c r="F62" s="24">
        <v>0.38271169402579169</v>
      </c>
      <c r="G62" s="24">
        <v>0.4921265302073603</v>
      </c>
      <c r="H62" s="24">
        <v>0.34466687277926311</v>
      </c>
      <c r="I62" s="24">
        <v>0.37865350256641161</v>
      </c>
    </row>
    <row r="63" spans="2:9" ht="18.95" customHeight="1" x14ac:dyDescent="0.25">
      <c r="B63" s="22" t="s">
        <v>273</v>
      </c>
      <c r="C63" s="21">
        <v>15</v>
      </c>
      <c r="D63" s="22" t="s">
        <v>134</v>
      </c>
      <c r="E63" s="24">
        <v>0.44846492367660828</v>
      </c>
      <c r="F63" s="24">
        <v>0.33283912796103848</v>
      </c>
      <c r="G63" s="24">
        <v>0.4127602772105024</v>
      </c>
      <c r="H63" s="24">
        <v>0.29528590665620852</v>
      </c>
      <c r="I63" s="24">
        <v>0.55525365610511423</v>
      </c>
    </row>
    <row r="64" spans="2:9" ht="18.95" customHeight="1" x14ac:dyDescent="0.25">
      <c r="B64" s="22" t="s">
        <v>273</v>
      </c>
      <c r="C64" s="21">
        <v>16</v>
      </c>
      <c r="D64" s="22" t="s">
        <v>135</v>
      </c>
      <c r="E64" s="24">
        <v>0.44775624520353352</v>
      </c>
      <c r="F64" s="24">
        <v>0.35949085836162897</v>
      </c>
      <c r="G64" s="24">
        <v>0.41562207750106311</v>
      </c>
      <c r="H64" s="24">
        <v>0.32871339855199527</v>
      </c>
      <c r="I64" s="24">
        <v>0.40912623517986391</v>
      </c>
    </row>
    <row r="65" spans="2:9" ht="18.95" customHeight="1" x14ac:dyDescent="0.25">
      <c r="B65" s="22" t="s">
        <v>273</v>
      </c>
      <c r="C65" s="21">
        <v>17</v>
      </c>
      <c r="D65" s="22" t="s">
        <v>136</v>
      </c>
      <c r="E65" s="24">
        <v>0.51716066694994856</v>
      </c>
      <c r="F65" s="24">
        <v>0.3319278535658875</v>
      </c>
      <c r="G65" s="24">
        <v>0.46916894846046758</v>
      </c>
      <c r="H65" s="24">
        <v>0.28070120859781772</v>
      </c>
      <c r="I65" s="24">
        <v>0.5958431365070207</v>
      </c>
    </row>
    <row r="66" spans="2:9" ht="18.95" customHeight="1" x14ac:dyDescent="0.25">
      <c r="B66" s="22" t="s">
        <v>273</v>
      </c>
      <c r="C66" s="21">
        <v>18</v>
      </c>
      <c r="D66" s="22" t="s">
        <v>137</v>
      </c>
      <c r="E66" s="24">
        <v>0.52021185146661886</v>
      </c>
      <c r="F66" s="24">
        <v>0.42645614277885391</v>
      </c>
      <c r="G66" s="24">
        <v>0.48878869676761699</v>
      </c>
      <c r="H66" s="24">
        <v>0.39178251689816579</v>
      </c>
      <c r="I66" s="24">
        <v>0.49856550157929369</v>
      </c>
    </row>
    <row r="67" spans="2:9" ht="18.95" customHeight="1" x14ac:dyDescent="0.25">
      <c r="B67" s="22" t="s">
        <v>273</v>
      </c>
      <c r="C67" s="21">
        <v>19</v>
      </c>
      <c r="D67" s="22" t="s">
        <v>138</v>
      </c>
      <c r="E67" s="24">
        <v>0.66655924422880597</v>
      </c>
      <c r="F67" s="24">
        <v>0.5101093935806138</v>
      </c>
      <c r="G67" s="24">
        <v>0.62405885255891025</v>
      </c>
      <c r="H67" s="24">
        <v>0.45719157346951778</v>
      </c>
      <c r="I67" s="24">
        <v>0.68697766429491647</v>
      </c>
    </row>
    <row r="69" spans="2:9" ht="31.15" customHeight="1" x14ac:dyDescent="0.25">
      <c r="B69" s="129" t="s">
        <v>655</v>
      </c>
      <c r="C69" s="83"/>
      <c r="D69" s="83"/>
      <c r="E69" s="83"/>
      <c r="F69" s="83"/>
      <c r="G69" s="83"/>
      <c r="H69" s="83"/>
      <c r="I69" s="83"/>
    </row>
  </sheetData>
  <mergeCells count="2">
    <mergeCell ref="B1:H1"/>
    <mergeCell ref="B69:I69"/>
  </mergeCells>
  <hyperlinks>
    <hyperlink ref="I1" location="'Portada'!A1" display="← Portada" xr:uid="{00000000-0004-0000-0C00-000000000000}"/>
  </hyperlinks>
  <printOptions horizontalCentered="1"/>
  <pageMargins left="0.4" right="0.4" top="0.45" bottom="0.6" header="0.2" footer="0.3"/>
  <pageSetup fitToHeight="0" orientation="portrait"/>
  <headerFooter>
    <oddFooter>&amp;L&amp;7 &amp;K4B4B4BEl miedo que no baja · The data squad · Bogotá DataJam 5&amp;R&amp;7 &amp;K4B4B4B&amp;A · &amp;P de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16</vt:i4>
      </vt:variant>
    </vt:vector>
  </HeadingPairs>
  <TitlesOfParts>
    <vt:vector size="29" baseType="lpstr">
      <vt:lpstr>Portada</vt:lpstr>
      <vt:lpstr>Resumen</vt:lpstr>
      <vt:lpstr>Panel_localidad</vt:lpstr>
      <vt:lpstr>Indice_brecha</vt:lpstr>
      <vt:lpstr>Cifra_oculta</vt:lpstr>
      <vt:lpstr>Modelos</vt:lpstr>
      <vt:lpstr>Genero</vt:lpstr>
      <vt:lpstr>Serie_delitos</vt:lpstr>
      <vt:lpstr>Simulador</vt:lpstr>
      <vt:lpstr>Diccionario</vt:lpstr>
      <vt:lpstr>Fuentes</vt:lpstr>
      <vt:lpstr>Bitacora</vt:lpstr>
      <vt:lpstr>Datos_escenarios</vt:lpstr>
      <vt:lpstr>Cifra_oculta!Área_de_impresión</vt:lpstr>
      <vt:lpstr>Genero!Área_de_impresión</vt:lpstr>
      <vt:lpstr>Indice_brecha!Área_de_impresión</vt:lpstr>
      <vt:lpstr>Modelos!Área_de_impresión</vt:lpstr>
      <vt:lpstr>Portada!Área_de_impresión</vt:lpstr>
      <vt:lpstr>Resumen!Área_de_impresión</vt:lpstr>
      <vt:lpstr>Serie_delitos!Área_de_impresión</vt:lpstr>
      <vt:lpstr>Simulador!Área_de_impresión</vt:lpstr>
      <vt:lpstr>f_alumbrado</vt:lpstr>
      <vt:lpstr>f_parques</vt:lpstr>
      <vt:lpstr>grupo_sim</vt:lpstr>
      <vt:lpstr>Bitacora!Títulos_a_imprimir</vt:lpstr>
      <vt:lpstr>Datos_escenarios!Títulos_a_imprimir</vt:lpstr>
      <vt:lpstr>Diccionario!Títulos_a_imprimir</vt:lpstr>
      <vt:lpstr>Fuentes!Títulos_a_imprimir</vt:lpstr>
      <vt:lpstr>Panel_localidad!Títulos_a_imprimir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 miedo que no baja · Libro de datos</dc:title>
  <dc:subject>Inseguridad percibida frente a delito registrado en Bogotá</dc:subject>
  <dc:creator>The data squad (Bogotá DataJam 5, equipo #16)</dc:creator>
  <cp:lastModifiedBy>Rafael Estiven Londono Camacho</cp:lastModifiedBy>
  <dcterms:created xsi:type="dcterms:W3CDTF">2026-10-06T16:59:33Z</dcterms:created>
  <dcterms:modified xsi:type="dcterms:W3CDTF">2026-10-06T16:59:41Z</dcterms:modified>
</cp:coreProperties>
</file>
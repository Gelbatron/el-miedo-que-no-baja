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ISA\Desktop\Nueva carpeta\"/>
    </mc:Choice>
  </mc:AlternateContent>
  <xr:revisionPtr revIDLastSave="0" documentId="13_ncr:1_{8549BDD7-3D35-4304-8E70-7E14EB28AE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1" i="1" l="1"/>
  <c r="M50" i="1"/>
  <c r="L50" i="1"/>
  <c r="K50" i="1"/>
  <c r="M49" i="1"/>
  <c r="L49" i="1"/>
  <c r="K49" i="1"/>
  <c r="K48" i="1"/>
  <c r="M47" i="1"/>
  <c r="L47" i="1"/>
  <c r="M45" i="1"/>
  <c r="L45" i="1"/>
  <c r="K45" i="1"/>
  <c r="K44" i="1"/>
  <c r="M43" i="1"/>
  <c r="L43" i="1"/>
  <c r="K43" i="1"/>
  <c r="M42" i="1"/>
  <c r="L42" i="1"/>
  <c r="K42" i="1"/>
  <c r="M41" i="1"/>
  <c r="L41" i="1"/>
  <c r="K41" i="1"/>
  <c r="K40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K34" i="1"/>
  <c r="M33" i="1"/>
  <c r="L33" i="1"/>
  <c r="L51" i="1" s="1"/>
  <c r="K33" i="1"/>
  <c r="M32" i="1"/>
  <c r="M51" i="1" s="1"/>
  <c r="K32" i="1"/>
  <c r="K31" i="1"/>
  <c r="K51" i="1" s="1"/>
  <c r="L52" i="1" l="1"/>
</calcChain>
</file>

<file path=xl/sharedStrings.xml><?xml version="1.0" encoding="utf-8"?>
<sst xmlns="http://schemas.openxmlformats.org/spreadsheetml/2006/main" count="118" uniqueCount="55">
  <si>
    <t>Propiedad inventario</t>
  </si>
  <si>
    <t>LOCALIDAD</t>
  </si>
  <si>
    <t>Luminarias de vapor de mercurio a baja presión</t>
  </si>
  <si>
    <t>Luminarias de Diodos Emisores de Luz</t>
  </si>
  <si>
    <t>Luminarias de vapor de halogenuros metálicos</t>
  </si>
  <si>
    <t>Luminarias de vapor de sodio alta presión</t>
  </si>
  <si>
    <t>TOTAL</t>
  </si>
  <si>
    <t>Porcentual luminarias LED localidad</t>
  </si>
  <si>
    <t>Fluorescentes</t>
  </si>
  <si>
    <t>LED</t>
  </si>
  <si>
    <t>Mh</t>
  </si>
  <si>
    <t>Na</t>
  </si>
  <si>
    <t>CODENSA</t>
  </si>
  <si>
    <t>Antonio Nariño</t>
  </si>
  <si>
    <t>Barrios Unidos</t>
  </si>
  <si>
    <t>Bosa</t>
  </si>
  <si>
    <t>Chapinero</t>
  </si>
  <si>
    <t>Ciudad Bolívar</t>
  </si>
  <si>
    <t>Engativá</t>
  </si>
  <si>
    <t>Fontibón</t>
  </si>
  <si>
    <t>Kennedy</t>
  </si>
  <si>
    <t>La Candelaria</t>
  </si>
  <si>
    <t>Los Mártires</t>
  </si>
  <si>
    <t>Puente Aranda</t>
  </si>
  <si>
    <t>Rafael Uribe</t>
  </si>
  <si>
    <t>San Cristóbal</t>
  </si>
  <si>
    <t>Santa Fe</t>
  </si>
  <si>
    <t>Suba</t>
  </si>
  <si>
    <t>Sumapaz</t>
  </si>
  <si>
    <t>Teusaquillo</t>
  </si>
  <si>
    <t>Tunjuelito</t>
  </si>
  <si>
    <t>Usaquén</t>
  </si>
  <si>
    <t>Usme</t>
  </si>
  <si>
    <t>Totales ENEL</t>
  </si>
  <si>
    <t>Total</t>
  </si>
  <si>
    <t>Conteos:</t>
  </si>
  <si>
    <t>Porcentualmente:</t>
  </si>
  <si>
    <r>
      <t>Fuente</t>
    </r>
    <r>
      <rPr>
        <i/>
        <sz val="7"/>
        <color theme="1"/>
        <rFont val="Arial"/>
        <family val="2"/>
      </rPr>
      <t xml:space="preserve">: Base de Datos de Infraestructura Operador enel Codensa con corte 20 NOV 2021 </t>
    </r>
  </si>
  <si>
    <t xml:space="preserve">DISTRITO </t>
  </si>
  <si>
    <t>Tecnología</t>
  </si>
  <si>
    <t>Localidad</t>
  </si>
  <si>
    <t>Led</t>
  </si>
  <si>
    <t>Halogenuro</t>
  </si>
  <si>
    <t>Sodio</t>
  </si>
  <si>
    <t>Candelaria</t>
  </si>
  <si>
    <t>Mártires</t>
  </si>
  <si>
    <t xml:space="preserve">Usaquén </t>
  </si>
  <si>
    <t>Totales Propiedad Distrito</t>
  </si>
  <si>
    <t>34.99%</t>
  </si>
  <si>
    <t>29.28%</t>
  </si>
  <si>
    <t>35.72%</t>
  </si>
  <si>
    <r>
      <t>Fuente</t>
    </r>
    <r>
      <rPr>
        <i/>
        <sz val="7"/>
        <color theme="1"/>
        <rFont val="Arial"/>
        <family val="2"/>
      </rPr>
      <t>:  Base de Datos Nivel 0 corte DIC 2021.</t>
    </r>
  </si>
  <si>
    <t>Total Bogotá</t>
  </si>
  <si>
    <t>18.85%</t>
  </si>
  <si>
    <r>
      <t>Fuente</t>
    </r>
    <r>
      <rPr>
        <i/>
        <sz val="7"/>
        <color theme="1"/>
        <rFont val="Arial"/>
        <family val="2"/>
      </rPr>
      <t>: Base de Datos de Infraestructura Operador con corte 20 NOV 2021 y BD Nivel 0 corte 7 DIC 2021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</si>
</sst>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i/>
      <sz val="8"/>
      <color rgb="FF000000"/>
      <name val="Arial"/>
      <family val="2"/>
    </font>
    <font>
      <sz val="10"/>
      <color theme="1"/>
      <name val="Times New Roman"/>
      <family val="1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i/>
      <sz val="7"/>
      <color theme="1"/>
      <name val="Arial"/>
      <family val="2"/>
    </font>
    <font>
      <i/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D9D9D9"/>
      </right>
      <top style="medium">
        <color indexed="64"/>
      </top>
      <bottom/>
      <diagonal/>
    </border>
    <border>
      <left/>
      <right style="medium">
        <color rgb="FFD9D9D9"/>
      </right>
      <top style="medium">
        <color indexed="64"/>
      </top>
      <bottom style="medium">
        <color rgb="FFD9D9D9"/>
      </bottom>
      <diagonal/>
    </border>
    <border>
      <left style="medium">
        <color rgb="FFD9D9D9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D9D9D9"/>
      </right>
      <top/>
      <bottom style="medium">
        <color indexed="64"/>
      </bottom>
      <diagonal/>
    </border>
    <border>
      <left/>
      <right style="medium">
        <color rgb="FFD9D9D9"/>
      </right>
      <top/>
      <bottom style="medium">
        <color indexed="64"/>
      </bottom>
      <diagonal/>
    </border>
    <border>
      <left style="medium">
        <color rgb="FFD9D9D9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/>
      <right style="medium">
        <color indexed="64"/>
      </right>
      <top/>
      <bottom style="medium">
        <color rgb="FFD9D9D9"/>
      </bottom>
      <diagonal/>
    </border>
    <border>
      <left/>
      <right style="medium">
        <color indexed="64"/>
      </right>
      <top/>
      <bottom style="medium">
        <color rgb="FFE7E6E6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D9D9D9"/>
      </bottom>
      <diagonal/>
    </border>
    <border>
      <left/>
      <right style="medium">
        <color rgb="FFD9D9D9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D9D9D9"/>
      </bottom>
      <diagonal/>
    </border>
    <border>
      <left/>
      <right/>
      <top/>
      <bottom style="medium">
        <color rgb="FFD9D9D9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3" fontId="4" fillId="0" borderId="13" xfId="0" applyNumberFormat="1" applyFont="1" applyBorder="1" applyAlignment="1">
      <alignment horizontal="center" vertical="center"/>
    </xf>
    <xf numFmtId="10" fontId="5" fillId="0" borderId="1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10" fontId="5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3" fontId="1" fillId="2" borderId="16" xfId="0" applyNumberFormat="1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10" fontId="6" fillId="0" borderId="16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3" borderId="20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justify" vertical="center" wrapText="1"/>
    </xf>
    <xf numFmtId="0" fontId="6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top"/>
    </xf>
    <xf numFmtId="3" fontId="6" fillId="0" borderId="16" xfId="0" applyNumberFormat="1" applyFont="1" applyBorder="1" applyAlignment="1">
      <alignment horizontal="center" vertical="center"/>
    </xf>
    <xf numFmtId="0" fontId="1" fillId="2" borderId="19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3" fontId="1" fillId="0" borderId="16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5" fillId="2" borderId="23" xfId="0" applyFont="1" applyFill="1" applyBorder="1" applyAlignment="1">
      <alignment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vertical="center" wrapText="1"/>
    </xf>
    <xf numFmtId="3" fontId="1" fillId="0" borderId="12" xfId="0" applyNumberFormat="1" applyFont="1" applyBorder="1" applyAlignment="1">
      <alignment horizontal="center" vertical="center"/>
    </xf>
    <xf numFmtId="3" fontId="4" fillId="0" borderId="26" xfId="0" applyNumberFormat="1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10" fontId="4" fillId="0" borderId="9" xfId="0" applyNumberFormat="1" applyFont="1" applyBorder="1" applyAlignment="1">
      <alignment horizontal="center" vertical="center"/>
    </xf>
    <xf numFmtId="10" fontId="1" fillId="0" borderId="9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textRotation="255"/>
    </xf>
    <xf numFmtId="0" fontId="0" fillId="0" borderId="15" xfId="0" applyBorder="1" applyAlignment="1">
      <alignment horizontal="center" vertical="center" textRotation="255"/>
    </xf>
    <xf numFmtId="0" fontId="0" fillId="0" borderId="7" xfId="0" applyBorder="1" applyAlignment="1">
      <alignment horizontal="center" vertical="center" textRotation="255"/>
    </xf>
    <xf numFmtId="0" fontId="1" fillId="3" borderId="2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INVENTARIO LUMINARIAS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[1]NOVIEMBRE!$J$30</c:f>
              <c:strCache>
                <c:ptCount val="1"/>
                <c:pt idx="0">
                  <c:v>Fluorescentes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[1]NOVIEMBRE!$I$31:$I$50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[1]NOVIEMBRE!$J$31:$J$50</c:f>
              <c:numCache>
                <c:formatCode>General</c:formatCode>
                <c:ptCount val="20"/>
                <c:pt idx="1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5-420E-A4D4-B7F77AA01E40}"/>
            </c:ext>
          </c:extLst>
        </c:ser>
        <c:ser>
          <c:idx val="1"/>
          <c:order val="1"/>
          <c:tx>
            <c:strRef>
              <c:f>[1]NOVIEMBRE!$K$30</c:f>
              <c:strCache>
                <c:ptCount val="1"/>
                <c:pt idx="0">
                  <c:v>LED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[1]NOVIEMBRE!$I$31:$I$50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[1]NOVIEMBRE!$K$31:$K$50</c:f>
              <c:numCache>
                <c:formatCode>#,##0</c:formatCode>
                <c:ptCount val="20"/>
                <c:pt idx="0">
                  <c:v>5187</c:v>
                </c:pt>
                <c:pt idx="1">
                  <c:v>1878</c:v>
                </c:pt>
                <c:pt idx="2">
                  <c:v>18617</c:v>
                </c:pt>
                <c:pt idx="3">
                  <c:v>4094</c:v>
                </c:pt>
                <c:pt idx="4">
                  <c:v>9500</c:v>
                </c:pt>
                <c:pt idx="5">
                  <c:v>23501</c:v>
                </c:pt>
                <c:pt idx="6">
                  <c:v>9385</c:v>
                </c:pt>
                <c:pt idx="7">
                  <c:v>32023</c:v>
                </c:pt>
                <c:pt idx="8" formatCode="General">
                  <c:v>536</c:v>
                </c:pt>
                <c:pt idx="9">
                  <c:v>1578</c:v>
                </c:pt>
                <c:pt idx="10">
                  <c:v>13645</c:v>
                </c:pt>
                <c:pt idx="11">
                  <c:v>15103</c:v>
                </c:pt>
                <c:pt idx="12">
                  <c:v>13472</c:v>
                </c:pt>
                <c:pt idx="13">
                  <c:v>2363</c:v>
                </c:pt>
                <c:pt idx="14">
                  <c:v>3138</c:v>
                </c:pt>
                <c:pt idx="15" formatCode="General">
                  <c:v>56</c:v>
                </c:pt>
                <c:pt idx="16">
                  <c:v>3521</c:v>
                </c:pt>
                <c:pt idx="17" formatCode="General">
                  <c:v>557</c:v>
                </c:pt>
                <c:pt idx="18">
                  <c:v>15071</c:v>
                </c:pt>
                <c:pt idx="19">
                  <c:v>13301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F5-420E-A4D4-B7F77AA01E40}"/>
            </c:ext>
          </c:extLst>
        </c:ser>
        <c:ser>
          <c:idx val="2"/>
          <c:order val="2"/>
          <c:tx>
            <c:strRef>
              <c:f>[1]NOVIEMBRE!$L$30</c:f>
              <c:strCache>
                <c:ptCount val="1"/>
                <c:pt idx="0">
                  <c:v>Mh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[1]NOVIEMBRE!$I$31:$I$50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[1]NOVIEMBRE!$L$31:$L$50</c:f>
              <c:numCache>
                <c:formatCode>#,##0</c:formatCode>
                <c:ptCount val="20"/>
                <c:pt idx="0" formatCode="General">
                  <c:v>389</c:v>
                </c:pt>
                <c:pt idx="1">
                  <c:v>8618</c:v>
                </c:pt>
                <c:pt idx="2">
                  <c:v>1583</c:v>
                </c:pt>
                <c:pt idx="3">
                  <c:v>8113</c:v>
                </c:pt>
                <c:pt idx="4">
                  <c:v>5587</c:v>
                </c:pt>
                <c:pt idx="5">
                  <c:v>6926</c:v>
                </c:pt>
                <c:pt idx="6">
                  <c:v>4562</c:v>
                </c:pt>
                <c:pt idx="7">
                  <c:v>3430</c:v>
                </c:pt>
                <c:pt idx="8">
                  <c:v>1693</c:v>
                </c:pt>
                <c:pt idx="9">
                  <c:v>4891</c:v>
                </c:pt>
                <c:pt idx="10">
                  <c:v>1935</c:v>
                </c:pt>
                <c:pt idx="11" formatCode="General">
                  <c:v>788</c:v>
                </c:pt>
                <c:pt idx="12">
                  <c:v>2298</c:v>
                </c:pt>
                <c:pt idx="13">
                  <c:v>4808</c:v>
                </c:pt>
                <c:pt idx="14">
                  <c:v>30732</c:v>
                </c:pt>
                <c:pt idx="15" formatCode="General">
                  <c:v>188</c:v>
                </c:pt>
                <c:pt idx="16">
                  <c:v>8260</c:v>
                </c:pt>
                <c:pt idx="17">
                  <c:v>5776</c:v>
                </c:pt>
                <c:pt idx="18">
                  <c:v>4384</c:v>
                </c:pt>
                <c:pt idx="19">
                  <c:v>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F5-420E-A4D4-B7F77AA01E40}"/>
            </c:ext>
          </c:extLst>
        </c:ser>
        <c:ser>
          <c:idx val="3"/>
          <c:order val="3"/>
          <c:tx>
            <c:strRef>
              <c:f>[1]NOVIEMBRE!$M$30</c:f>
              <c:strCache>
                <c:ptCount val="1"/>
                <c:pt idx="0">
                  <c:v>Na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[1]NOVIEMBRE!$I$31:$I$50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[1]NOVIEMBRE!$M$31:$M$50</c:f>
              <c:numCache>
                <c:formatCode>#,##0</c:formatCode>
                <c:ptCount val="20"/>
                <c:pt idx="0" formatCode="General">
                  <c:v>115</c:v>
                </c:pt>
                <c:pt idx="1">
                  <c:v>1371</c:v>
                </c:pt>
                <c:pt idx="2">
                  <c:v>2417</c:v>
                </c:pt>
                <c:pt idx="3">
                  <c:v>1314</c:v>
                </c:pt>
                <c:pt idx="4">
                  <c:v>12797</c:v>
                </c:pt>
                <c:pt idx="5">
                  <c:v>6667</c:v>
                </c:pt>
                <c:pt idx="6">
                  <c:v>4241</c:v>
                </c:pt>
                <c:pt idx="7">
                  <c:v>5144</c:v>
                </c:pt>
                <c:pt idx="8" formatCode="General">
                  <c:v>824</c:v>
                </c:pt>
                <c:pt idx="9" formatCode="General">
                  <c:v>825</c:v>
                </c:pt>
                <c:pt idx="10">
                  <c:v>3501</c:v>
                </c:pt>
                <c:pt idx="11" formatCode="General">
                  <c:v>722</c:v>
                </c:pt>
                <c:pt idx="12">
                  <c:v>2513</c:v>
                </c:pt>
                <c:pt idx="13">
                  <c:v>2192</c:v>
                </c:pt>
                <c:pt idx="14">
                  <c:v>10237</c:v>
                </c:pt>
                <c:pt idx="15" formatCode="General">
                  <c:v>18</c:v>
                </c:pt>
                <c:pt idx="16">
                  <c:v>2865</c:v>
                </c:pt>
                <c:pt idx="17" formatCode="General">
                  <c:v>808</c:v>
                </c:pt>
                <c:pt idx="18">
                  <c:v>6908</c:v>
                </c:pt>
                <c:pt idx="19">
                  <c:v>2592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F5-420E-A4D4-B7F77AA01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49617791"/>
        <c:axId val="1649618207"/>
        <c:axId val="0"/>
      </c:bar3DChart>
      <c:catAx>
        <c:axId val="164961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9618207"/>
        <c:crosses val="autoZero"/>
        <c:auto val="1"/>
        <c:lblAlgn val="ctr"/>
        <c:lblOffset val="100"/>
        <c:noMultiLvlLbl val="0"/>
      </c:catAx>
      <c:valAx>
        <c:axId val="164961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4961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13757</xdr:colOff>
      <xdr:row>28</xdr:row>
      <xdr:rowOff>606423</xdr:rowOff>
    </xdr:from>
    <xdr:to>
      <xdr:col>21</xdr:col>
      <xdr:colOff>528108</xdr:colOff>
      <xdr:row>41</xdr:row>
      <xdr:rowOff>192616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9B6B26-F80C-40A4-B3D1-38795AC40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0224000037463_00006_ximenalozano_165825004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IO"/>
      <sheetName val="JULIO"/>
      <sheetName val="AGOSTO"/>
      <sheetName val="SEPTIEMBRE"/>
      <sheetName val="OCTUBRE"/>
      <sheetName val="NOVIEMBRE"/>
      <sheetName val="DICIEMBRE"/>
      <sheetName val="Análisis"/>
      <sheetName val="ENERO 2022"/>
      <sheetName val="FEBRERO 2022"/>
      <sheetName val="MARZO 2022"/>
      <sheetName val="ABRIL 2022"/>
    </sheetNames>
    <sheetDataSet>
      <sheetData sheetId="0"/>
      <sheetData sheetId="1"/>
      <sheetData sheetId="2"/>
      <sheetData sheetId="3"/>
      <sheetData sheetId="4"/>
      <sheetData sheetId="5">
        <row r="30">
          <cell r="J30" t="str">
            <v>Fluorescentes</v>
          </cell>
          <cell r="K30" t="str">
            <v>LED</v>
          </cell>
          <cell r="L30" t="str">
            <v>Mh</v>
          </cell>
          <cell r="M30" t="str">
            <v>Na</v>
          </cell>
        </row>
        <row r="31">
          <cell r="I31" t="str">
            <v>Antonio Nariño</v>
          </cell>
          <cell r="K31">
            <v>5187</v>
          </cell>
          <cell r="L31">
            <v>389</v>
          </cell>
          <cell r="M31">
            <v>115</v>
          </cell>
        </row>
        <row r="32">
          <cell r="I32" t="str">
            <v>Barrios Unidos</v>
          </cell>
          <cell r="K32">
            <v>1878</v>
          </cell>
          <cell r="L32">
            <v>8618</v>
          </cell>
          <cell r="M32">
            <v>1371</v>
          </cell>
        </row>
        <row r="33">
          <cell r="I33" t="str">
            <v>Bosa</v>
          </cell>
          <cell r="K33">
            <v>18617</v>
          </cell>
          <cell r="L33">
            <v>1583</v>
          </cell>
          <cell r="M33">
            <v>2417</v>
          </cell>
        </row>
        <row r="34">
          <cell r="I34" t="str">
            <v>Chapinero</v>
          </cell>
          <cell r="K34">
            <v>4094</v>
          </cell>
          <cell r="L34">
            <v>8113</v>
          </cell>
          <cell r="M34">
            <v>1314</v>
          </cell>
        </row>
        <row r="35">
          <cell r="I35" t="str">
            <v>Ciudad Bolívar</v>
          </cell>
          <cell r="K35">
            <v>9500</v>
          </cell>
          <cell r="L35">
            <v>5587</v>
          </cell>
          <cell r="M35">
            <v>12797</v>
          </cell>
        </row>
        <row r="36">
          <cell r="I36" t="str">
            <v>Engativá</v>
          </cell>
          <cell r="K36">
            <v>23501</v>
          </cell>
          <cell r="L36">
            <v>6926</v>
          </cell>
          <cell r="M36">
            <v>6667</v>
          </cell>
        </row>
        <row r="37">
          <cell r="I37" t="str">
            <v>Fontibón</v>
          </cell>
          <cell r="K37">
            <v>9385</v>
          </cell>
          <cell r="L37">
            <v>4562</v>
          </cell>
          <cell r="M37">
            <v>4241</v>
          </cell>
        </row>
        <row r="38">
          <cell r="I38" t="str">
            <v>Kennedy</v>
          </cell>
          <cell r="K38">
            <v>32023</v>
          </cell>
          <cell r="L38">
            <v>3430</v>
          </cell>
          <cell r="M38">
            <v>5144</v>
          </cell>
        </row>
        <row r="39">
          <cell r="I39" t="str">
            <v>La Candelaria</v>
          </cell>
          <cell r="K39">
            <v>536</v>
          </cell>
          <cell r="L39">
            <v>1693</v>
          </cell>
          <cell r="M39">
            <v>824</v>
          </cell>
        </row>
        <row r="40">
          <cell r="I40" t="str">
            <v>Los Mártires</v>
          </cell>
          <cell r="K40">
            <v>1578</v>
          </cell>
          <cell r="L40">
            <v>4891</v>
          </cell>
          <cell r="M40">
            <v>825</v>
          </cell>
        </row>
        <row r="41">
          <cell r="I41" t="str">
            <v>Puente Aranda</v>
          </cell>
          <cell r="K41">
            <v>13645</v>
          </cell>
          <cell r="L41">
            <v>1935</v>
          </cell>
          <cell r="M41">
            <v>3501</v>
          </cell>
        </row>
        <row r="42">
          <cell r="I42" t="str">
            <v>Rafael Uribe</v>
          </cell>
          <cell r="K42">
            <v>15103</v>
          </cell>
          <cell r="L42">
            <v>788</v>
          </cell>
          <cell r="M42">
            <v>722</v>
          </cell>
        </row>
        <row r="43">
          <cell r="I43" t="str">
            <v>San Cristóbal</v>
          </cell>
          <cell r="K43">
            <v>13472</v>
          </cell>
          <cell r="L43">
            <v>2298</v>
          </cell>
          <cell r="M43">
            <v>2513</v>
          </cell>
        </row>
        <row r="44">
          <cell r="I44" t="str">
            <v>Santa Fe</v>
          </cell>
          <cell r="J44">
            <v>18</v>
          </cell>
          <cell r="K44">
            <v>2363</v>
          </cell>
          <cell r="L44">
            <v>4808</v>
          </cell>
          <cell r="M44">
            <v>2192</v>
          </cell>
        </row>
        <row r="45">
          <cell r="I45" t="str">
            <v>Suba</v>
          </cell>
          <cell r="K45">
            <v>3138</v>
          </cell>
          <cell r="L45">
            <v>30732</v>
          </cell>
          <cell r="M45">
            <v>10237</v>
          </cell>
        </row>
        <row r="46">
          <cell r="I46" t="str">
            <v>Sumapaz</v>
          </cell>
          <cell r="K46">
            <v>56</v>
          </cell>
          <cell r="L46">
            <v>188</v>
          </cell>
          <cell r="M46">
            <v>18</v>
          </cell>
        </row>
        <row r="47">
          <cell r="I47" t="str">
            <v>Teusaquillo</v>
          </cell>
          <cell r="K47">
            <v>3521</v>
          </cell>
          <cell r="L47">
            <v>8260</v>
          </cell>
          <cell r="M47">
            <v>2865</v>
          </cell>
        </row>
        <row r="48">
          <cell r="I48" t="str">
            <v>Tunjuelito</v>
          </cell>
          <cell r="K48">
            <v>557</v>
          </cell>
          <cell r="L48">
            <v>5776</v>
          </cell>
          <cell r="M48">
            <v>808</v>
          </cell>
        </row>
        <row r="49">
          <cell r="I49" t="str">
            <v>Usaquén</v>
          </cell>
          <cell r="K49">
            <v>15071</v>
          </cell>
          <cell r="L49">
            <v>4384</v>
          </cell>
          <cell r="M49">
            <v>6908</v>
          </cell>
        </row>
        <row r="50">
          <cell r="I50" t="str">
            <v>Usme</v>
          </cell>
          <cell r="K50">
            <v>13301</v>
          </cell>
          <cell r="L50">
            <v>1501</v>
          </cell>
          <cell r="M50">
            <v>2592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topLeftCell="G27" workbookViewId="0">
      <selection activeCell="X32" sqref="X32"/>
    </sheetView>
  </sheetViews>
  <sheetFormatPr baseColWidth="10" defaultColWidth="9.140625" defaultRowHeight="15" x14ac:dyDescent="0.25"/>
  <sheetData>
    <row r="1" spans="1:9" ht="68.25" thickBot="1" x14ac:dyDescent="0.3">
      <c r="A1" s="51" t="s">
        <v>0</v>
      </c>
      <c r="B1" s="5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5" t="s">
        <v>6</v>
      </c>
      <c r="H1" s="2"/>
      <c r="I1" s="57" t="s">
        <v>7</v>
      </c>
    </row>
    <row r="2" spans="1:9" ht="23.25" thickBot="1" x14ac:dyDescent="0.3">
      <c r="A2" s="52"/>
      <c r="B2" s="54"/>
      <c r="C2" s="3" t="s">
        <v>8</v>
      </c>
      <c r="D2" s="3" t="s">
        <v>9</v>
      </c>
      <c r="E2" s="3" t="s">
        <v>10</v>
      </c>
      <c r="F2" s="3" t="s">
        <v>11</v>
      </c>
      <c r="G2" s="56"/>
      <c r="H2" s="2"/>
      <c r="I2" s="58"/>
    </row>
    <row r="3" spans="1:9" ht="23.25" thickBot="1" x14ac:dyDescent="0.3">
      <c r="A3" s="59" t="s">
        <v>12</v>
      </c>
      <c r="B3" s="4" t="s">
        <v>13</v>
      </c>
      <c r="C3" s="5"/>
      <c r="D3" s="6">
        <v>5180</v>
      </c>
      <c r="E3" s="5">
        <v>389</v>
      </c>
      <c r="F3" s="5">
        <v>115</v>
      </c>
      <c r="G3" s="7">
        <v>5684</v>
      </c>
      <c r="H3" s="2"/>
      <c r="I3" s="8">
        <v>0.9113</v>
      </c>
    </row>
    <row r="4" spans="1:9" ht="23.25" thickBot="1" x14ac:dyDescent="0.3">
      <c r="A4" s="60"/>
      <c r="B4" s="4" t="s">
        <v>14</v>
      </c>
      <c r="C4" s="5"/>
      <c r="D4" s="6">
        <v>1856</v>
      </c>
      <c r="E4" s="6">
        <v>8618</v>
      </c>
      <c r="F4" s="6">
        <v>1324</v>
      </c>
      <c r="G4" s="7">
        <v>11798</v>
      </c>
      <c r="H4" s="2"/>
      <c r="I4" s="8">
        <v>0.1573</v>
      </c>
    </row>
    <row r="5" spans="1:9" ht="15.75" thickBot="1" x14ac:dyDescent="0.3">
      <c r="A5" s="60"/>
      <c r="B5" s="4" t="s">
        <v>15</v>
      </c>
      <c r="C5" s="5"/>
      <c r="D5" s="6">
        <v>18561</v>
      </c>
      <c r="E5" s="6">
        <v>1387</v>
      </c>
      <c r="F5" s="6">
        <v>2134</v>
      </c>
      <c r="G5" s="7">
        <v>22082</v>
      </c>
      <c r="H5" s="2"/>
      <c r="I5" s="8">
        <v>0.84050000000000002</v>
      </c>
    </row>
    <row r="6" spans="1:9" ht="15.75" thickBot="1" x14ac:dyDescent="0.3">
      <c r="A6" s="60"/>
      <c r="B6" s="4" t="s">
        <v>16</v>
      </c>
      <c r="C6" s="4"/>
      <c r="D6" s="6">
        <v>3995</v>
      </c>
      <c r="E6" s="6">
        <v>8113</v>
      </c>
      <c r="F6" s="6">
        <v>1313</v>
      </c>
      <c r="G6" s="7">
        <v>13421</v>
      </c>
      <c r="H6" s="2"/>
      <c r="I6" s="8">
        <v>0.29770000000000002</v>
      </c>
    </row>
    <row r="7" spans="1:9" ht="23.25" thickBot="1" x14ac:dyDescent="0.3">
      <c r="A7" s="60"/>
      <c r="B7" s="4" t="s">
        <v>17</v>
      </c>
      <c r="C7" s="4"/>
      <c r="D7" s="6">
        <v>9125</v>
      </c>
      <c r="E7" s="6">
        <v>5480</v>
      </c>
      <c r="F7" s="6">
        <v>12717</v>
      </c>
      <c r="G7" s="7">
        <v>27322</v>
      </c>
      <c r="H7" s="2"/>
      <c r="I7" s="8">
        <v>0.33400000000000002</v>
      </c>
    </row>
    <row r="8" spans="1:9" ht="15.75" thickBot="1" x14ac:dyDescent="0.3">
      <c r="A8" s="60"/>
      <c r="B8" s="4" t="s">
        <v>18</v>
      </c>
      <c r="C8" s="4"/>
      <c r="D8" s="6">
        <v>23108</v>
      </c>
      <c r="E8" s="6">
        <v>6908</v>
      </c>
      <c r="F8" s="6">
        <v>6476</v>
      </c>
      <c r="G8" s="7">
        <v>36492</v>
      </c>
      <c r="H8" s="2"/>
      <c r="I8" s="8">
        <v>0.63319999999999999</v>
      </c>
    </row>
    <row r="9" spans="1:9" ht="15.75" thickBot="1" x14ac:dyDescent="0.3">
      <c r="A9" s="60"/>
      <c r="B9" s="4" t="s">
        <v>19</v>
      </c>
      <c r="C9" s="4"/>
      <c r="D9" s="6">
        <v>9347</v>
      </c>
      <c r="E9" s="6">
        <v>4393</v>
      </c>
      <c r="F9" s="6">
        <v>4015</v>
      </c>
      <c r="G9" s="7">
        <v>17755</v>
      </c>
      <c r="H9" s="2"/>
      <c r="I9" s="8">
        <v>0.52639999999999998</v>
      </c>
    </row>
    <row r="10" spans="1:9" ht="15.75" thickBot="1" x14ac:dyDescent="0.3">
      <c r="A10" s="60"/>
      <c r="B10" s="4" t="s">
        <v>20</v>
      </c>
      <c r="C10" s="4"/>
      <c r="D10" s="6">
        <v>31957</v>
      </c>
      <c r="E10" s="6">
        <v>3212</v>
      </c>
      <c r="F10" s="6">
        <v>4955</v>
      </c>
      <c r="G10" s="7">
        <v>40124</v>
      </c>
      <c r="H10" s="2"/>
      <c r="I10" s="8">
        <v>0.79649999999999999</v>
      </c>
    </row>
    <row r="11" spans="1:9" ht="23.25" thickBot="1" x14ac:dyDescent="0.3">
      <c r="A11" s="60"/>
      <c r="B11" s="4" t="s">
        <v>21</v>
      </c>
      <c r="C11" s="4"/>
      <c r="D11" s="5">
        <v>468</v>
      </c>
      <c r="E11" s="6">
        <v>1693</v>
      </c>
      <c r="F11" s="5">
        <v>824</v>
      </c>
      <c r="G11" s="7">
        <v>2985</v>
      </c>
      <c r="H11" s="2"/>
      <c r="I11" s="8">
        <v>0.15679999999999999</v>
      </c>
    </row>
    <row r="12" spans="1:9" ht="23.25" thickBot="1" x14ac:dyDescent="0.3">
      <c r="A12" s="60"/>
      <c r="B12" s="4" t="s">
        <v>22</v>
      </c>
      <c r="C12" s="4"/>
      <c r="D12" s="6">
        <v>1562</v>
      </c>
      <c r="E12" s="6">
        <v>4891</v>
      </c>
      <c r="F12" s="5">
        <v>825</v>
      </c>
      <c r="G12" s="7">
        <v>7278</v>
      </c>
      <c r="H12" s="2"/>
      <c r="I12" s="8">
        <v>0.21460000000000001</v>
      </c>
    </row>
    <row r="13" spans="1:9" ht="23.25" thickBot="1" x14ac:dyDescent="0.3">
      <c r="A13" s="60"/>
      <c r="B13" s="4" t="s">
        <v>23</v>
      </c>
      <c r="C13" s="4"/>
      <c r="D13" s="6">
        <v>13641</v>
      </c>
      <c r="E13" s="6">
        <v>1888</v>
      </c>
      <c r="F13" s="6">
        <v>3461</v>
      </c>
      <c r="G13" s="7">
        <v>18990</v>
      </c>
      <c r="H13" s="2"/>
      <c r="I13" s="8">
        <v>0.71830000000000005</v>
      </c>
    </row>
    <row r="14" spans="1:9" ht="23.25" thickBot="1" x14ac:dyDescent="0.3">
      <c r="A14" s="60"/>
      <c r="B14" s="4" t="s">
        <v>24</v>
      </c>
      <c r="C14" s="4"/>
      <c r="D14" s="6">
        <v>15079</v>
      </c>
      <c r="E14" s="5">
        <v>777</v>
      </c>
      <c r="F14" s="5">
        <v>661</v>
      </c>
      <c r="G14" s="7">
        <v>16517</v>
      </c>
      <c r="H14" s="2"/>
      <c r="I14" s="8">
        <v>0.91290000000000004</v>
      </c>
    </row>
    <row r="15" spans="1:9" ht="23.25" thickBot="1" x14ac:dyDescent="0.3">
      <c r="A15" s="60"/>
      <c r="B15" s="4" t="s">
        <v>25</v>
      </c>
      <c r="C15" s="5"/>
      <c r="D15" s="6">
        <v>13455</v>
      </c>
      <c r="E15" s="6">
        <v>2231</v>
      </c>
      <c r="F15" s="6">
        <v>2505</v>
      </c>
      <c r="G15" s="7">
        <v>18191</v>
      </c>
      <c r="H15" s="2"/>
      <c r="I15" s="8">
        <v>0.73970000000000002</v>
      </c>
    </row>
    <row r="16" spans="1:9" ht="15.75" thickBot="1" x14ac:dyDescent="0.3">
      <c r="A16" s="60"/>
      <c r="B16" s="4" t="s">
        <v>26</v>
      </c>
      <c r="C16" s="5">
        <v>18</v>
      </c>
      <c r="D16" s="6">
        <v>2355</v>
      </c>
      <c r="E16" s="6">
        <v>4808</v>
      </c>
      <c r="F16" s="6">
        <v>2192</v>
      </c>
      <c r="G16" s="7">
        <v>9373</v>
      </c>
      <c r="H16" s="2"/>
      <c r="I16" s="8">
        <v>0.25130000000000002</v>
      </c>
    </row>
    <row r="17" spans="1:13" ht="15.75" thickBot="1" x14ac:dyDescent="0.3">
      <c r="A17" s="60"/>
      <c r="B17" s="4" t="s">
        <v>27</v>
      </c>
      <c r="C17" s="5"/>
      <c r="D17" s="6">
        <v>2748</v>
      </c>
      <c r="E17" s="6">
        <v>30132</v>
      </c>
      <c r="F17" s="6">
        <v>9789</v>
      </c>
      <c r="G17" s="7">
        <v>42669</v>
      </c>
      <c r="H17" s="2"/>
      <c r="I17" s="8">
        <v>6.4399999999999999E-2</v>
      </c>
    </row>
    <row r="18" spans="1:13" ht="15.75" thickBot="1" x14ac:dyDescent="0.3">
      <c r="A18" s="60"/>
      <c r="B18" s="4" t="s">
        <v>28</v>
      </c>
      <c r="C18" s="5"/>
      <c r="D18" s="5">
        <v>56</v>
      </c>
      <c r="E18" s="5">
        <v>188</v>
      </c>
      <c r="F18" s="5">
        <v>18</v>
      </c>
      <c r="G18" s="9">
        <v>262</v>
      </c>
      <c r="H18" s="2"/>
      <c r="I18" s="8">
        <v>0.2137</v>
      </c>
    </row>
    <row r="19" spans="1:13" ht="15.75" thickBot="1" x14ac:dyDescent="0.3">
      <c r="A19" s="60"/>
      <c r="B19" s="4" t="s">
        <v>29</v>
      </c>
      <c r="C19" s="5"/>
      <c r="D19" s="6">
        <v>3521</v>
      </c>
      <c r="E19" s="6">
        <v>8235</v>
      </c>
      <c r="F19" s="6">
        <v>2722</v>
      </c>
      <c r="G19" s="7">
        <v>14478</v>
      </c>
      <c r="H19" s="2"/>
      <c r="I19" s="8">
        <v>0.2432</v>
      </c>
    </row>
    <row r="20" spans="1:13" ht="15.75" thickBot="1" x14ac:dyDescent="0.3">
      <c r="A20" s="60"/>
      <c r="B20" s="4" t="s">
        <v>30</v>
      </c>
      <c r="C20" s="5"/>
      <c r="D20" s="5">
        <v>514</v>
      </c>
      <c r="E20" s="6">
        <v>5776</v>
      </c>
      <c r="F20" s="5">
        <v>808</v>
      </c>
      <c r="G20" s="7">
        <v>7098</v>
      </c>
      <c r="H20" s="2"/>
      <c r="I20" s="8">
        <v>7.2400000000000006E-2</v>
      </c>
    </row>
    <row r="21" spans="1:13" ht="15.75" thickBot="1" x14ac:dyDescent="0.3">
      <c r="A21" s="60"/>
      <c r="B21" s="4" t="s">
        <v>31</v>
      </c>
      <c r="C21" s="5"/>
      <c r="D21" s="6">
        <v>14989</v>
      </c>
      <c r="E21" s="6">
        <v>4369</v>
      </c>
      <c r="F21" s="6">
        <v>6812</v>
      </c>
      <c r="G21" s="7">
        <v>26170</v>
      </c>
      <c r="H21" s="10"/>
      <c r="I21" s="8">
        <v>0.57279999999999998</v>
      </c>
    </row>
    <row r="22" spans="1:13" ht="15.75" thickBot="1" x14ac:dyDescent="0.3">
      <c r="A22" s="60"/>
      <c r="B22" s="11" t="s">
        <v>32</v>
      </c>
      <c r="C22" s="12"/>
      <c r="D22" s="13">
        <v>13226</v>
      </c>
      <c r="E22" s="13">
        <v>1482</v>
      </c>
      <c r="F22" s="13">
        <v>2585</v>
      </c>
      <c r="G22" s="14">
        <v>17293</v>
      </c>
      <c r="H22" s="2"/>
      <c r="I22" s="15">
        <v>0.76480000000000004</v>
      </c>
    </row>
    <row r="23" spans="1:13" ht="15.75" thickBot="1" x14ac:dyDescent="0.3">
      <c r="A23" s="60"/>
      <c r="B23" s="16"/>
      <c r="C23" s="17"/>
      <c r="D23" s="17"/>
      <c r="E23" s="17"/>
      <c r="F23" s="17"/>
      <c r="G23" s="17"/>
      <c r="H23" s="17"/>
      <c r="I23" s="16"/>
    </row>
    <row r="24" spans="1:13" ht="23.25" thickBot="1" x14ac:dyDescent="0.3">
      <c r="A24" s="60"/>
      <c r="B24" s="18" t="s">
        <v>33</v>
      </c>
      <c r="C24" s="19" t="s">
        <v>8</v>
      </c>
      <c r="D24" s="19" t="s">
        <v>9</v>
      </c>
      <c r="E24" s="19" t="s">
        <v>10</v>
      </c>
      <c r="F24" s="20" t="s">
        <v>11</v>
      </c>
      <c r="G24" s="20" t="s">
        <v>34</v>
      </c>
      <c r="H24" s="17"/>
      <c r="I24" s="16"/>
    </row>
    <row r="25" spans="1:13" ht="15.75" thickBot="1" x14ac:dyDescent="0.3">
      <c r="A25" s="60"/>
      <c r="B25" s="21" t="s">
        <v>35</v>
      </c>
      <c r="C25" s="22">
        <v>18</v>
      </c>
      <c r="D25" s="23">
        <v>184743</v>
      </c>
      <c r="E25" s="23">
        <v>104970</v>
      </c>
      <c r="F25" s="23">
        <v>66251</v>
      </c>
      <c r="G25" s="23">
        <v>355982</v>
      </c>
      <c r="H25" s="17"/>
      <c r="I25" s="16"/>
    </row>
    <row r="26" spans="1:13" ht="23.25" thickBot="1" x14ac:dyDescent="0.3">
      <c r="A26" s="60"/>
      <c r="B26" s="24" t="s">
        <v>36</v>
      </c>
      <c r="C26" s="25">
        <v>5.0000000000000002E-5</v>
      </c>
      <c r="D26" s="15">
        <v>0.51900000000000002</v>
      </c>
      <c r="E26" s="25">
        <v>0.2949</v>
      </c>
      <c r="F26" s="25">
        <v>0.18609999999999999</v>
      </c>
      <c r="G26" s="16"/>
      <c r="H26" s="17"/>
      <c r="I26" s="16"/>
    </row>
    <row r="27" spans="1:13" ht="15.75" thickBot="1" x14ac:dyDescent="0.3">
      <c r="A27" s="61"/>
      <c r="D27" s="26" t="s">
        <v>37</v>
      </c>
    </row>
    <row r="28" spans="1:13" ht="15.75" thickBot="1" x14ac:dyDescent="0.3">
      <c r="A28" s="59" t="s">
        <v>38</v>
      </c>
    </row>
    <row r="29" spans="1:13" ht="68.25" thickBot="1" x14ac:dyDescent="0.3">
      <c r="A29" s="60"/>
      <c r="B29" s="27"/>
      <c r="C29" s="62" t="s">
        <v>39</v>
      </c>
      <c r="D29" s="63"/>
      <c r="E29" s="63"/>
      <c r="F29" s="64"/>
      <c r="J29" s="1" t="s">
        <v>2</v>
      </c>
      <c r="K29" s="1" t="s">
        <v>3</v>
      </c>
      <c r="L29" s="1" t="s">
        <v>4</v>
      </c>
      <c r="M29" s="1" t="s">
        <v>5</v>
      </c>
    </row>
    <row r="30" spans="1:13" ht="23.25" thickBot="1" x14ac:dyDescent="0.3">
      <c r="A30" s="60"/>
      <c r="B30" s="28" t="s">
        <v>40</v>
      </c>
      <c r="C30" s="28" t="s">
        <v>41</v>
      </c>
      <c r="D30" s="28" t="s">
        <v>42</v>
      </c>
      <c r="E30" s="28" t="s">
        <v>43</v>
      </c>
      <c r="F30" s="28" t="s">
        <v>34</v>
      </c>
      <c r="I30" s="65" t="s">
        <v>1</v>
      </c>
      <c r="J30" s="3" t="s">
        <v>8</v>
      </c>
      <c r="K30" s="3" t="s">
        <v>9</v>
      </c>
      <c r="L30" s="3" t="s">
        <v>10</v>
      </c>
      <c r="M30" s="3" t="s">
        <v>11</v>
      </c>
    </row>
    <row r="31" spans="1:13" ht="23.25" thickBot="1" x14ac:dyDescent="0.3">
      <c r="A31" s="60"/>
      <c r="B31" s="29" t="s">
        <v>13</v>
      </c>
      <c r="C31" s="30">
        <v>7</v>
      </c>
      <c r="D31" s="31"/>
      <c r="E31" s="31"/>
      <c r="F31" s="30">
        <v>7</v>
      </c>
      <c r="I31" s="4" t="s">
        <v>13</v>
      </c>
      <c r="J31" s="5"/>
      <c r="K31" s="6">
        <f>5180+C31</f>
        <v>5187</v>
      </c>
      <c r="L31" s="5">
        <v>389</v>
      </c>
      <c r="M31" s="5">
        <v>115</v>
      </c>
    </row>
    <row r="32" spans="1:13" ht="23.25" thickBot="1" x14ac:dyDescent="0.3">
      <c r="A32" s="60"/>
      <c r="B32" s="29" t="s">
        <v>14</v>
      </c>
      <c r="C32" s="30">
        <v>22</v>
      </c>
      <c r="D32" s="31"/>
      <c r="E32" s="30">
        <v>47</v>
      </c>
      <c r="F32" s="30">
        <v>69</v>
      </c>
      <c r="I32" s="4" t="s">
        <v>14</v>
      </c>
      <c r="J32" s="5"/>
      <c r="K32" s="6">
        <f>1856+C32</f>
        <v>1878</v>
      </c>
      <c r="L32" s="6">
        <v>8618</v>
      </c>
      <c r="M32" s="6">
        <f>1324+E32</f>
        <v>1371</v>
      </c>
    </row>
    <row r="33" spans="1:13" ht="15.75" thickBot="1" x14ac:dyDescent="0.3">
      <c r="A33" s="60"/>
      <c r="B33" s="29" t="s">
        <v>15</v>
      </c>
      <c r="C33" s="30">
        <v>56</v>
      </c>
      <c r="D33" s="30">
        <v>196</v>
      </c>
      <c r="E33" s="30">
        <v>283</v>
      </c>
      <c r="F33" s="30">
        <v>535</v>
      </c>
      <c r="I33" s="4" t="s">
        <v>15</v>
      </c>
      <c r="J33" s="5"/>
      <c r="K33" s="6">
        <f>18561+C33</f>
        <v>18617</v>
      </c>
      <c r="L33" s="6">
        <f>1387+D33</f>
        <v>1583</v>
      </c>
      <c r="M33" s="6">
        <f>2134+E33</f>
        <v>2417</v>
      </c>
    </row>
    <row r="34" spans="1:13" ht="23.25" thickBot="1" x14ac:dyDescent="0.3">
      <c r="A34" s="60"/>
      <c r="B34" s="29" t="s">
        <v>17</v>
      </c>
      <c r="C34" s="30">
        <v>375</v>
      </c>
      <c r="D34" s="30">
        <v>107</v>
      </c>
      <c r="E34" s="30">
        <v>80</v>
      </c>
      <c r="F34" s="30">
        <v>562</v>
      </c>
      <c r="I34" s="4" t="s">
        <v>16</v>
      </c>
      <c r="J34" s="4"/>
      <c r="K34" s="6">
        <f>3995+C36</f>
        <v>4094</v>
      </c>
      <c r="L34" s="6">
        <v>8113</v>
      </c>
      <c r="M34" s="6">
        <f>1313+E36</f>
        <v>1314</v>
      </c>
    </row>
    <row r="35" spans="1:13" ht="23.25" thickBot="1" x14ac:dyDescent="0.3">
      <c r="A35" s="60"/>
      <c r="B35" s="29" t="s">
        <v>44</v>
      </c>
      <c r="C35" s="30">
        <v>68</v>
      </c>
      <c r="D35" s="30"/>
      <c r="E35" s="30"/>
      <c r="F35" s="30">
        <v>68</v>
      </c>
      <c r="I35" s="4" t="s">
        <v>17</v>
      </c>
      <c r="J35" s="4"/>
      <c r="K35" s="6">
        <f>9125+C34</f>
        <v>9500</v>
      </c>
      <c r="L35" s="6">
        <f>5480+D34</f>
        <v>5587</v>
      </c>
      <c r="M35" s="6">
        <f>12717+E34</f>
        <v>12797</v>
      </c>
    </row>
    <row r="36" spans="1:13" ht="15.75" thickBot="1" x14ac:dyDescent="0.3">
      <c r="A36" s="60"/>
      <c r="B36" s="29" t="s">
        <v>16</v>
      </c>
      <c r="C36" s="30">
        <v>99</v>
      </c>
      <c r="D36" s="31"/>
      <c r="E36" s="30">
        <v>1</v>
      </c>
      <c r="F36" s="30">
        <v>100</v>
      </c>
      <c r="I36" s="4" t="s">
        <v>18</v>
      </c>
      <c r="J36" s="4"/>
      <c r="K36" s="6">
        <f>23108+C37</f>
        <v>23501</v>
      </c>
      <c r="L36" s="6">
        <f>6908+D37</f>
        <v>6926</v>
      </c>
      <c r="M36" s="6">
        <f>6476+E37</f>
        <v>6667</v>
      </c>
    </row>
    <row r="37" spans="1:13" ht="15.75" thickBot="1" x14ac:dyDescent="0.3">
      <c r="A37" s="60"/>
      <c r="B37" s="29" t="s">
        <v>18</v>
      </c>
      <c r="C37" s="30">
        <v>393</v>
      </c>
      <c r="D37" s="30">
        <v>18</v>
      </c>
      <c r="E37" s="30">
        <v>191</v>
      </c>
      <c r="F37" s="30">
        <v>602</v>
      </c>
      <c r="I37" s="4" t="s">
        <v>19</v>
      </c>
      <c r="J37" s="4"/>
      <c r="K37" s="6">
        <f>9347+C38</f>
        <v>9385</v>
      </c>
      <c r="L37" s="6">
        <f>4393+D38</f>
        <v>4562</v>
      </c>
      <c r="M37" s="6">
        <f>4015+E38</f>
        <v>4241</v>
      </c>
    </row>
    <row r="38" spans="1:13" ht="15.75" thickBot="1" x14ac:dyDescent="0.3">
      <c r="A38" s="60"/>
      <c r="B38" s="29" t="s">
        <v>19</v>
      </c>
      <c r="C38" s="30">
        <v>38</v>
      </c>
      <c r="D38" s="30">
        <v>169</v>
      </c>
      <c r="E38" s="30">
        <v>226</v>
      </c>
      <c r="F38" s="30">
        <v>433</v>
      </c>
      <c r="I38" s="4" t="s">
        <v>20</v>
      </c>
      <c r="J38" s="4"/>
      <c r="K38" s="6">
        <f>31957+C39</f>
        <v>32023</v>
      </c>
      <c r="L38" s="6">
        <f>3212+D39</f>
        <v>3430</v>
      </c>
      <c r="M38" s="6">
        <f>4955+E39</f>
        <v>5144</v>
      </c>
    </row>
    <row r="39" spans="1:13" ht="23.25" thickBot="1" x14ac:dyDescent="0.3">
      <c r="A39" s="60"/>
      <c r="B39" s="29" t="s">
        <v>20</v>
      </c>
      <c r="C39" s="30">
        <v>66</v>
      </c>
      <c r="D39" s="30">
        <v>218</v>
      </c>
      <c r="E39" s="30">
        <v>189</v>
      </c>
      <c r="F39" s="30">
        <v>473</v>
      </c>
      <c r="I39" s="4" t="s">
        <v>21</v>
      </c>
      <c r="J39" s="4"/>
      <c r="K39" s="5">
        <f>468+C35</f>
        <v>536</v>
      </c>
      <c r="L39" s="6">
        <v>1693</v>
      </c>
      <c r="M39" s="5">
        <v>824</v>
      </c>
    </row>
    <row r="40" spans="1:13" ht="23.25" thickBot="1" x14ac:dyDescent="0.3">
      <c r="A40" s="60"/>
      <c r="B40" s="29" t="s">
        <v>45</v>
      </c>
      <c r="C40" s="30">
        <v>16</v>
      </c>
      <c r="D40" s="31"/>
      <c r="E40" s="31"/>
      <c r="F40" s="30">
        <v>16</v>
      </c>
      <c r="I40" s="4" t="s">
        <v>22</v>
      </c>
      <c r="J40" s="4"/>
      <c r="K40" s="6">
        <f>1562+C40</f>
        <v>1578</v>
      </c>
      <c r="L40" s="6">
        <v>4891</v>
      </c>
      <c r="M40" s="5">
        <v>825</v>
      </c>
    </row>
    <row r="41" spans="1:13" ht="23.25" thickBot="1" x14ac:dyDescent="0.3">
      <c r="A41" s="60"/>
      <c r="B41" s="29" t="s">
        <v>23</v>
      </c>
      <c r="C41" s="30">
        <v>4</v>
      </c>
      <c r="D41" s="30">
        <v>47</v>
      </c>
      <c r="E41" s="30">
        <v>40</v>
      </c>
      <c r="F41" s="30">
        <v>91</v>
      </c>
      <c r="I41" s="4" t="s">
        <v>23</v>
      </c>
      <c r="J41" s="4"/>
      <c r="K41" s="6">
        <f>13641+4</f>
        <v>13645</v>
      </c>
      <c r="L41" s="6">
        <f>1888+D41</f>
        <v>1935</v>
      </c>
      <c r="M41" s="6">
        <f>3461+E41</f>
        <v>3501</v>
      </c>
    </row>
    <row r="42" spans="1:13" ht="23.25" thickBot="1" x14ac:dyDescent="0.3">
      <c r="A42" s="60"/>
      <c r="B42" s="29" t="s">
        <v>24</v>
      </c>
      <c r="C42" s="30">
        <v>24</v>
      </c>
      <c r="D42" s="30">
        <v>11</v>
      </c>
      <c r="E42" s="30">
        <v>61</v>
      </c>
      <c r="F42" s="30">
        <v>96</v>
      </c>
      <c r="I42" s="4" t="s">
        <v>24</v>
      </c>
      <c r="J42" s="4"/>
      <c r="K42" s="6">
        <f>15079+C42</f>
        <v>15103</v>
      </c>
      <c r="L42" s="5">
        <f>777+D42</f>
        <v>788</v>
      </c>
      <c r="M42" s="5">
        <f>661+E42</f>
        <v>722</v>
      </c>
    </row>
    <row r="43" spans="1:13" ht="23.25" thickBot="1" x14ac:dyDescent="0.3">
      <c r="A43" s="60"/>
      <c r="B43" s="29" t="s">
        <v>25</v>
      </c>
      <c r="C43" s="30">
        <v>17</v>
      </c>
      <c r="D43" s="30">
        <v>67</v>
      </c>
      <c r="E43" s="30">
        <v>8</v>
      </c>
      <c r="F43" s="30">
        <v>92</v>
      </c>
      <c r="I43" s="4" t="s">
        <v>25</v>
      </c>
      <c r="J43" s="5"/>
      <c r="K43" s="6">
        <f>13455+C43</f>
        <v>13472</v>
      </c>
      <c r="L43" s="6">
        <f>2231+D43</f>
        <v>2298</v>
      </c>
      <c r="M43" s="6">
        <f>2505+E43</f>
        <v>2513</v>
      </c>
    </row>
    <row r="44" spans="1:13" ht="15.75" thickBot="1" x14ac:dyDescent="0.3">
      <c r="A44" s="60"/>
      <c r="B44" s="29" t="s">
        <v>26</v>
      </c>
      <c r="C44" s="30">
        <v>8</v>
      </c>
      <c r="D44" s="30"/>
      <c r="E44" s="30"/>
      <c r="F44" s="30">
        <v>8</v>
      </c>
      <c r="I44" s="4" t="s">
        <v>26</v>
      </c>
      <c r="J44" s="5">
        <v>18</v>
      </c>
      <c r="K44" s="6">
        <f>2355+C44</f>
        <v>2363</v>
      </c>
      <c r="L44" s="6">
        <v>4808</v>
      </c>
      <c r="M44" s="6">
        <v>2192</v>
      </c>
    </row>
    <row r="45" spans="1:13" ht="15.75" thickBot="1" x14ac:dyDescent="0.3">
      <c r="A45" s="60"/>
      <c r="B45" s="29" t="s">
        <v>27</v>
      </c>
      <c r="C45" s="30">
        <v>390</v>
      </c>
      <c r="D45" s="30">
        <v>600</v>
      </c>
      <c r="E45" s="30">
        <v>448</v>
      </c>
      <c r="F45" s="32">
        <v>1438</v>
      </c>
      <c r="I45" s="4" t="s">
        <v>27</v>
      </c>
      <c r="J45" s="5"/>
      <c r="K45" s="6">
        <f>2748+C45</f>
        <v>3138</v>
      </c>
      <c r="L45" s="6">
        <f>30132+D45</f>
        <v>30732</v>
      </c>
      <c r="M45" s="6">
        <f>9789+E45</f>
        <v>10237</v>
      </c>
    </row>
    <row r="46" spans="1:13" ht="15.75" thickBot="1" x14ac:dyDescent="0.3">
      <c r="A46" s="60"/>
      <c r="B46" s="29" t="s">
        <v>29</v>
      </c>
      <c r="C46" s="31"/>
      <c r="D46" s="30">
        <v>25</v>
      </c>
      <c r="E46" s="30">
        <v>143</v>
      </c>
      <c r="F46" s="30">
        <v>168</v>
      </c>
      <c r="I46" s="4" t="s">
        <v>28</v>
      </c>
      <c r="J46" s="5"/>
      <c r="K46" s="5">
        <v>56</v>
      </c>
      <c r="L46" s="5">
        <v>188</v>
      </c>
      <c r="M46" s="5">
        <v>18</v>
      </c>
    </row>
    <row r="47" spans="1:13" ht="15.75" thickBot="1" x14ac:dyDescent="0.3">
      <c r="A47" s="60"/>
      <c r="B47" s="29" t="s">
        <v>30</v>
      </c>
      <c r="C47" s="30">
        <v>43</v>
      </c>
      <c r="D47" s="30"/>
      <c r="E47" s="30"/>
      <c r="F47" s="30">
        <v>43</v>
      </c>
      <c r="I47" s="4" t="s">
        <v>29</v>
      </c>
      <c r="J47" s="5"/>
      <c r="K47" s="6">
        <v>3521</v>
      </c>
      <c r="L47" s="6">
        <f>8235+D46</f>
        <v>8260</v>
      </c>
      <c r="M47" s="6">
        <f>2722+E46</f>
        <v>2865</v>
      </c>
    </row>
    <row r="48" spans="1:13" ht="15.75" thickBot="1" x14ac:dyDescent="0.3">
      <c r="A48" s="60"/>
      <c r="B48" s="29" t="s">
        <v>46</v>
      </c>
      <c r="C48" s="30">
        <v>82</v>
      </c>
      <c r="D48" s="30">
        <v>15</v>
      </c>
      <c r="E48" s="30">
        <v>96</v>
      </c>
      <c r="F48" s="30">
        <v>193</v>
      </c>
      <c r="I48" s="4" t="s">
        <v>30</v>
      </c>
      <c r="J48" s="5"/>
      <c r="K48" s="5">
        <f>514+C47</f>
        <v>557</v>
      </c>
      <c r="L48" s="6">
        <v>5776</v>
      </c>
      <c r="M48" s="5">
        <v>808</v>
      </c>
    </row>
    <row r="49" spans="1:13" ht="15.75" thickBot="1" x14ac:dyDescent="0.3">
      <c r="A49" s="60"/>
      <c r="B49" s="29" t="s">
        <v>32</v>
      </c>
      <c r="C49" s="30">
        <v>75</v>
      </c>
      <c r="D49" s="30">
        <v>19</v>
      </c>
      <c r="E49" s="30">
        <v>7</v>
      </c>
      <c r="F49" s="30">
        <v>101</v>
      </c>
      <c r="I49" s="4" t="s">
        <v>31</v>
      </c>
      <c r="J49" s="5"/>
      <c r="K49" s="6">
        <f>14989+C48</f>
        <v>15071</v>
      </c>
      <c r="L49" s="6">
        <f>4369+D48</f>
        <v>4384</v>
      </c>
      <c r="M49" s="6">
        <f>6812+E48</f>
        <v>6908</v>
      </c>
    </row>
    <row r="50" spans="1:13" ht="15.75" thickBot="1" x14ac:dyDescent="0.3">
      <c r="A50" s="60"/>
      <c r="I50" s="11" t="s">
        <v>32</v>
      </c>
      <c r="J50" s="12"/>
      <c r="K50" s="13">
        <f>13226+C49</f>
        <v>13301</v>
      </c>
      <c r="L50" s="13">
        <f>1482+D49</f>
        <v>1501</v>
      </c>
      <c r="M50" s="13">
        <f>2585+E49</f>
        <v>2592</v>
      </c>
    </row>
    <row r="51" spans="1:13" ht="34.5" thickBot="1" x14ac:dyDescent="0.3">
      <c r="A51" s="60"/>
      <c r="B51" s="33" t="s">
        <v>47</v>
      </c>
      <c r="C51" s="34" t="s">
        <v>9</v>
      </c>
      <c r="D51" s="34" t="s">
        <v>10</v>
      </c>
      <c r="E51" s="34" t="s">
        <v>11</v>
      </c>
      <c r="F51" s="34" t="s">
        <v>34</v>
      </c>
      <c r="J51">
        <f>J44</f>
        <v>18</v>
      </c>
      <c r="K51" s="66">
        <f>SUM(K31:K50)</f>
        <v>186526</v>
      </c>
      <c r="L51">
        <f>SUM(L31:L50)</f>
        <v>106462</v>
      </c>
      <c r="M51">
        <f>SUM(M31:M50)</f>
        <v>68071</v>
      </c>
    </row>
    <row r="52" spans="1:13" ht="15.75" thickBot="1" x14ac:dyDescent="0.3">
      <c r="A52" s="60"/>
      <c r="B52" s="35" t="s">
        <v>35</v>
      </c>
      <c r="C52" s="36">
        <v>1783</v>
      </c>
      <c r="D52" s="36">
        <v>1492</v>
      </c>
      <c r="E52" s="36">
        <v>1820</v>
      </c>
      <c r="F52" s="23">
        <v>5095</v>
      </c>
      <c r="L52">
        <f>SUM(J51:M51)</f>
        <v>361077</v>
      </c>
    </row>
    <row r="53" spans="1:13" ht="23.25" thickBot="1" x14ac:dyDescent="0.3">
      <c r="A53" s="60"/>
      <c r="B53" s="37" t="s">
        <v>36</v>
      </c>
      <c r="C53" s="22" t="s">
        <v>48</v>
      </c>
      <c r="D53" s="22" t="s">
        <v>49</v>
      </c>
      <c r="E53" s="22" t="s">
        <v>50</v>
      </c>
      <c r="F53" s="16"/>
    </row>
    <row r="54" spans="1:13" ht="15.75" thickBot="1" x14ac:dyDescent="0.3">
      <c r="A54" s="61"/>
      <c r="D54" s="26" t="s">
        <v>51</v>
      </c>
    </row>
    <row r="55" spans="1:13" ht="15.75" thickBot="1" x14ac:dyDescent="0.3"/>
    <row r="56" spans="1:13" ht="23.25" thickBot="1" x14ac:dyDescent="0.3">
      <c r="B56" s="38" t="s">
        <v>52</v>
      </c>
      <c r="C56" s="39" t="s">
        <v>8</v>
      </c>
      <c r="D56" s="39" t="s">
        <v>9</v>
      </c>
      <c r="E56" s="39" t="s">
        <v>10</v>
      </c>
      <c r="F56" s="40" t="s">
        <v>11</v>
      </c>
      <c r="G56" s="41" t="s">
        <v>34</v>
      </c>
    </row>
    <row r="57" spans="1:13" ht="15.75" thickBot="1" x14ac:dyDescent="0.3">
      <c r="B57" s="42" t="s">
        <v>35</v>
      </c>
      <c r="C57" s="5">
        <v>18</v>
      </c>
      <c r="D57" s="43">
        <v>186526</v>
      </c>
      <c r="E57" s="6">
        <v>106462</v>
      </c>
      <c r="F57" s="44">
        <v>68071</v>
      </c>
      <c r="G57" s="45">
        <v>361077</v>
      </c>
    </row>
    <row r="58" spans="1:13" ht="23.25" thickBot="1" x14ac:dyDescent="0.3">
      <c r="B58" s="46" t="s">
        <v>36</v>
      </c>
      <c r="C58" s="47">
        <v>5.0000000000000002E-5</v>
      </c>
      <c r="D58" s="48">
        <v>0.51659999999999995</v>
      </c>
      <c r="E58" s="47">
        <v>0.29480000000000001</v>
      </c>
      <c r="F58" s="49" t="s">
        <v>53</v>
      </c>
      <c r="G58" s="50"/>
    </row>
    <row r="59" spans="1:13" x14ac:dyDescent="0.25">
      <c r="D59" s="26" t="s">
        <v>54</v>
      </c>
    </row>
  </sheetData>
  <mergeCells count="7">
    <mergeCell ref="A28:A54"/>
    <mergeCell ref="C29:F29"/>
    <mergeCell ref="A1:A2"/>
    <mergeCell ref="B1:B2"/>
    <mergeCell ref="G1:G2"/>
    <mergeCell ref="I1:I2"/>
    <mergeCell ref="A3:A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</dc:creator>
  <cp:lastModifiedBy>ISA</cp:lastModifiedBy>
  <dcterms:created xsi:type="dcterms:W3CDTF">2015-06-05T18:19:34Z</dcterms:created>
  <dcterms:modified xsi:type="dcterms:W3CDTF">2022-07-29T21:34:44Z</dcterms:modified>
</cp:coreProperties>
</file>
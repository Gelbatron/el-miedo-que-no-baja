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\Desktop\Funerarios\"/>
    </mc:Choice>
  </mc:AlternateContent>
  <xr:revisionPtr revIDLastSave="0" documentId="13_ncr:1_{93EC7EB4-C956-487C-AB34-13F712794007}" xr6:coauthVersionLast="47" xr6:coauthVersionMax="47" xr10:uidLastSave="{00000000-0000-0000-0000-000000000000}"/>
  <bookViews>
    <workbookView xWindow="-120" yWindow="-120" windowWidth="20730" windowHeight="11160" activeTab="3" xr2:uid="{7616B226-4288-4872-8D87-5B17A54487BE}"/>
  </bookViews>
  <sheets>
    <sheet name="MAY" sheetId="27" r:id="rId1"/>
    <sheet name="JUN" sheetId="28" r:id="rId2"/>
    <sheet name="JUN v.2" sheetId="29" r:id="rId3"/>
    <sheet name="JUL" sheetId="30" r:id="rId4"/>
    <sheet name="AGO" sheetId="31" r:id="rId5"/>
    <sheet name="SEP" sheetId="3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32" l="1"/>
  <c r="H23" i="32" s="1"/>
  <c r="F22" i="32"/>
  <c r="F21" i="32"/>
  <c r="F20" i="32"/>
  <c r="F19" i="32"/>
  <c r="H19" i="32" s="1"/>
  <c r="F18" i="32"/>
  <c r="H18" i="32" s="1"/>
  <c r="F17" i="32"/>
  <c r="F16" i="32"/>
  <c r="F15" i="32"/>
  <c r="F14" i="32"/>
  <c r="F13" i="32"/>
  <c r="F12" i="32"/>
  <c r="F11" i="32"/>
  <c r="H11" i="32" s="1"/>
  <c r="F10" i="32"/>
  <c r="H10" i="32" s="1"/>
  <c r="F9" i="32"/>
  <c r="F8" i="32"/>
  <c r="F7" i="32"/>
  <c r="F6" i="32"/>
  <c r="F5" i="32"/>
  <c r="F4" i="32"/>
  <c r="F30" i="32"/>
  <c r="E26" i="32"/>
  <c r="D26" i="32"/>
  <c r="C26" i="32"/>
  <c r="C33" i="32" s="1"/>
  <c r="H22" i="32"/>
  <c r="H21" i="32"/>
  <c r="H20" i="32"/>
  <c r="H17" i="32"/>
  <c r="H16" i="32"/>
  <c r="H15" i="32"/>
  <c r="H14" i="32"/>
  <c r="H13" i="32"/>
  <c r="H12" i="32"/>
  <c r="H9" i="32"/>
  <c r="H8" i="32"/>
  <c r="H7" i="32"/>
  <c r="H6" i="32"/>
  <c r="H5" i="32"/>
  <c r="H4" i="32"/>
  <c r="F30" i="31"/>
  <c r="E26" i="31"/>
  <c r="D26" i="31"/>
  <c r="D33" i="31" s="1"/>
  <c r="C26" i="31"/>
  <c r="F23" i="31"/>
  <c r="H23" i="31" s="1"/>
  <c r="F22" i="31"/>
  <c r="H22" i="31" s="1"/>
  <c r="F21" i="31"/>
  <c r="H21" i="31" s="1"/>
  <c r="F20" i="31"/>
  <c r="H20" i="31" s="1"/>
  <c r="F19" i="31"/>
  <c r="H19" i="31" s="1"/>
  <c r="F18" i="31"/>
  <c r="H18" i="31" s="1"/>
  <c r="F17" i="31"/>
  <c r="H17" i="31" s="1"/>
  <c r="F16" i="31"/>
  <c r="H16" i="31" s="1"/>
  <c r="F15" i="31"/>
  <c r="H15" i="31" s="1"/>
  <c r="F14" i="31"/>
  <c r="H14" i="31" s="1"/>
  <c r="F13" i="31"/>
  <c r="H13" i="31" s="1"/>
  <c r="F12" i="31"/>
  <c r="H12" i="31" s="1"/>
  <c r="F11" i="31"/>
  <c r="H11" i="31" s="1"/>
  <c r="F10" i="31"/>
  <c r="H10" i="31" s="1"/>
  <c r="F9" i="31"/>
  <c r="H9" i="31" s="1"/>
  <c r="F8" i="31"/>
  <c r="H8" i="31" s="1"/>
  <c r="F7" i="31"/>
  <c r="H7" i="31" s="1"/>
  <c r="F6" i="31"/>
  <c r="H6" i="31" s="1"/>
  <c r="F5" i="31"/>
  <c r="H5" i="31" s="1"/>
  <c r="F4" i="31"/>
  <c r="H4" i="31" s="1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6" i="32" l="1"/>
  <c r="D34" i="32" s="1"/>
  <c r="E33" i="32"/>
  <c r="D33" i="32"/>
  <c r="F33" i="32" s="1"/>
  <c r="H30" i="32" s="1"/>
  <c r="F26" i="31"/>
  <c r="C34" i="31" s="1"/>
  <c r="C33" i="31"/>
  <c r="E33" i="31"/>
  <c r="F30" i="30"/>
  <c r="E26" i="30"/>
  <c r="D26" i="30"/>
  <c r="C26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F26" i="30"/>
  <c r="F30" i="29"/>
  <c r="E26" i="29"/>
  <c r="D26" i="29"/>
  <c r="D33" i="29" s="1"/>
  <c r="C26" i="29"/>
  <c r="C33" i="29" s="1"/>
  <c r="F23" i="29"/>
  <c r="H23" i="29" s="1"/>
  <c r="F22" i="29"/>
  <c r="H22" i="29" s="1"/>
  <c r="F21" i="29"/>
  <c r="H21" i="29" s="1"/>
  <c r="F20" i="29"/>
  <c r="H20" i="29" s="1"/>
  <c r="F19" i="29"/>
  <c r="H19" i="29" s="1"/>
  <c r="F18" i="29"/>
  <c r="H18" i="29" s="1"/>
  <c r="F17" i="29"/>
  <c r="H17" i="29" s="1"/>
  <c r="F16" i="29"/>
  <c r="H16" i="29" s="1"/>
  <c r="F15" i="29"/>
  <c r="H15" i="29" s="1"/>
  <c r="F14" i="29"/>
  <c r="H14" i="29" s="1"/>
  <c r="F13" i="29"/>
  <c r="H13" i="29" s="1"/>
  <c r="F12" i="29"/>
  <c r="H12" i="29" s="1"/>
  <c r="F11" i="29"/>
  <c r="H11" i="29" s="1"/>
  <c r="F10" i="29"/>
  <c r="H10" i="29" s="1"/>
  <c r="F9" i="29"/>
  <c r="H9" i="29" s="1"/>
  <c r="F8" i="29"/>
  <c r="H8" i="29" s="1"/>
  <c r="F7" i="29"/>
  <c r="H7" i="29" s="1"/>
  <c r="F6" i="29"/>
  <c r="H6" i="29" s="1"/>
  <c r="F5" i="29"/>
  <c r="H5" i="29" s="1"/>
  <c r="F4" i="29"/>
  <c r="H4" i="29" s="1"/>
  <c r="F30" i="28"/>
  <c r="E26" i="28"/>
  <c r="E33" i="28" s="1"/>
  <c r="D26" i="28"/>
  <c r="D33" i="28" s="1"/>
  <c r="C26" i="28"/>
  <c r="C33" i="28" s="1"/>
  <c r="F23" i="28"/>
  <c r="H23" i="28" s="1"/>
  <c r="F22" i="28"/>
  <c r="H22" i="28" s="1"/>
  <c r="F21" i="28"/>
  <c r="H21" i="28" s="1"/>
  <c r="F20" i="28"/>
  <c r="H20" i="28" s="1"/>
  <c r="F19" i="28"/>
  <c r="H19" i="28" s="1"/>
  <c r="F18" i="28"/>
  <c r="H18" i="28" s="1"/>
  <c r="F17" i="28"/>
  <c r="H17" i="28" s="1"/>
  <c r="F16" i="28"/>
  <c r="H16" i="28" s="1"/>
  <c r="F15" i="28"/>
  <c r="H15" i="28" s="1"/>
  <c r="F14" i="28"/>
  <c r="H14" i="28" s="1"/>
  <c r="F13" i="28"/>
  <c r="H13" i="28" s="1"/>
  <c r="F12" i="28"/>
  <c r="H12" i="28" s="1"/>
  <c r="F11" i="28"/>
  <c r="H11" i="28" s="1"/>
  <c r="F10" i="28"/>
  <c r="H10" i="28" s="1"/>
  <c r="F9" i="28"/>
  <c r="H9" i="28" s="1"/>
  <c r="F8" i="28"/>
  <c r="H8" i="28" s="1"/>
  <c r="F7" i="28"/>
  <c r="H7" i="28" s="1"/>
  <c r="F6" i="28"/>
  <c r="H6" i="28" s="1"/>
  <c r="F5" i="28"/>
  <c r="F4" i="28"/>
  <c r="H4" i="28" s="1"/>
  <c r="G30" i="27"/>
  <c r="F26" i="27"/>
  <c r="F33" i="27" s="1"/>
  <c r="E26" i="27"/>
  <c r="E33" i="27" s="1"/>
  <c r="D26" i="27"/>
  <c r="D33" i="27" s="1"/>
  <c r="G23" i="27"/>
  <c r="I23" i="27" s="1"/>
  <c r="G22" i="27"/>
  <c r="I22" i="27" s="1"/>
  <c r="G21" i="27"/>
  <c r="I21" i="27" s="1"/>
  <c r="G20" i="27"/>
  <c r="I20" i="27" s="1"/>
  <c r="G19" i="27"/>
  <c r="I19" i="27" s="1"/>
  <c r="G18" i="27"/>
  <c r="I18" i="27" s="1"/>
  <c r="G17" i="27"/>
  <c r="I17" i="27" s="1"/>
  <c r="G16" i="27"/>
  <c r="I16" i="27" s="1"/>
  <c r="G15" i="27"/>
  <c r="I15" i="27" s="1"/>
  <c r="G14" i="27"/>
  <c r="I14" i="27" s="1"/>
  <c r="G13" i="27"/>
  <c r="I13" i="27" s="1"/>
  <c r="G12" i="27"/>
  <c r="I12" i="27" s="1"/>
  <c r="G11" i="27"/>
  <c r="I11" i="27" s="1"/>
  <c r="G10" i="27"/>
  <c r="I10" i="27" s="1"/>
  <c r="G9" i="27"/>
  <c r="I9" i="27" s="1"/>
  <c r="G8" i="27"/>
  <c r="I8" i="27" s="1"/>
  <c r="G7" i="27"/>
  <c r="I7" i="27" s="1"/>
  <c r="G6" i="27"/>
  <c r="I6" i="27" s="1"/>
  <c r="G5" i="27"/>
  <c r="I5" i="27" s="1"/>
  <c r="G4" i="27"/>
  <c r="E27" i="32" l="1"/>
  <c r="D27" i="32"/>
  <c r="E34" i="32"/>
  <c r="C27" i="32"/>
  <c r="H26" i="32"/>
  <c r="C34" i="32"/>
  <c r="E34" i="31"/>
  <c r="E27" i="31"/>
  <c r="C27" i="31"/>
  <c r="F33" i="31"/>
  <c r="H30" i="31" s="1"/>
  <c r="D34" i="31"/>
  <c r="D27" i="31"/>
  <c r="C34" i="30"/>
  <c r="D34" i="30"/>
  <c r="E27" i="30"/>
  <c r="E33" i="30"/>
  <c r="E34" i="30"/>
  <c r="C27" i="30"/>
  <c r="D27" i="30"/>
  <c r="H4" i="30"/>
  <c r="C33" i="30"/>
  <c r="D33" i="30"/>
  <c r="F26" i="29"/>
  <c r="D34" i="29" s="1"/>
  <c r="E33" i="29"/>
  <c r="F33" i="29" s="1"/>
  <c r="H30" i="29" s="1"/>
  <c r="F26" i="28"/>
  <c r="C27" i="28" s="1"/>
  <c r="F33" i="28"/>
  <c r="H30" i="28" s="1"/>
  <c r="H5" i="28"/>
  <c r="G26" i="27"/>
  <c r="E34" i="27" s="1"/>
  <c r="C27" i="27"/>
  <c r="G33" i="27"/>
  <c r="I30" i="27" s="1"/>
  <c r="I4" i="27"/>
  <c r="H26" i="31" l="1"/>
  <c r="F33" i="30"/>
  <c r="H30" i="30" s="1"/>
  <c r="E27" i="29"/>
  <c r="E34" i="29"/>
  <c r="D27" i="29"/>
  <c r="C34" i="29"/>
  <c r="C27" i="29"/>
  <c r="H26" i="29"/>
  <c r="E34" i="28"/>
  <c r="H26" i="28"/>
  <c r="D34" i="28"/>
  <c r="C34" i="28"/>
  <c r="E27" i="28"/>
  <c r="D27" i="28"/>
  <c r="D27" i="27"/>
  <c r="F27" i="27"/>
  <c r="E27" i="27"/>
  <c r="C34" i="27"/>
  <c r="D34" i="27"/>
  <c r="F34" i="27"/>
  <c r="I26" i="27"/>
  <c r="H26" i="30" l="1"/>
</calcChain>
</file>

<file path=xl/sharedStrings.xml><?xml version="1.0" encoding="utf-8"?>
<sst xmlns="http://schemas.openxmlformats.org/spreadsheetml/2006/main" count="305" uniqueCount="43">
  <si>
    <t>LED</t>
  </si>
  <si>
    <t>Mh</t>
  </si>
  <si>
    <t>Na</t>
  </si>
  <si>
    <t>LOCALIDAD</t>
  </si>
  <si>
    <t>Luminarias de vapor de mercurio a baja presión</t>
  </si>
  <si>
    <t>Luminarias de Diodos Emisores de Luz</t>
  </si>
  <si>
    <t>Luminarias de vapor de halogenuros metálicos</t>
  </si>
  <si>
    <t>Luminarias de vapor de sodio alta presión</t>
  </si>
  <si>
    <t>TOTAL</t>
  </si>
  <si>
    <t>Fluorescentes</t>
  </si>
  <si>
    <t>Antonio Nariño</t>
  </si>
  <si>
    <t>Barrios Unidos</t>
  </si>
  <si>
    <t>Bosa</t>
  </si>
  <si>
    <t>Chapinero</t>
  </si>
  <si>
    <t>Ciudad Bolívar</t>
  </si>
  <si>
    <t>Engativá</t>
  </si>
  <si>
    <t>Fontibón</t>
  </si>
  <si>
    <t>Kennedy</t>
  </si>
  <si>
    <t>La Candelaria</t>
  </si>
  <si>
    <t>Los Mártires</t>
  </si>
  <si>
    <t>Puente Aranda</t>
  </si>
  <si>
    <t>Rafael Uribe</t>
  </si>
  <si>
    <t>San Cristóbal</t>
  </si>
  <si>
    <t>Santa Fe</t>
  </si>
  <si>
    <t>Suba</t>
  </si>
  <si>
    <t>Sumapaz</t>
  </si>
  <si>
    <t>Teusaquillo</t>
  </si>
  <si>
    <t>Tunjuelito</t>
  </si>
  <si>
    <t>Usaquén</t>
  </si>
  <si>
    <t>Usme</t>
  </si>
  <si>
    <t>Porcentualmente:</t>
  </si>
  <si>
    <t>Porcentual luminarias LED respecto a la totalidad en la misma localidad</t>
  </si>
  <si>
    <t>Total</t>
  </si>
  <si>
    <t>Conteos:</t>
  </si>
  <si>
    <t>TOTAL BOGOTÁ</t>
  </si>
  <si>
    <t>Totales ENEL</t>
  </si>
  <si>
    <t>Totales Propiedad Distrito</t>
  </si>
  <si>
    <t>Tecnología de Luminaria</t>
  </si>
  <si>
    <r>
      <rPr>
        <b/>
        <i/>
        <sz val="8"/>
        <rFont val="Cambria"/>
        <family val="1"/>
      </rPr>
      <t>Fuente Información</t>
    </r>
    <r>
      <rPr>
        <i/>
        <sz val="8"/>
        <rFont val="Cambria"/>
        <family val="1"/>
      </rPr>
      <t xml:space="preserve">: BD_AP Operativa Enel-Colombia a corte </t>
    </r>
    <r>
      <rPr>
        <b/>
        <i/>
        <sz val="8"/>
        <color rgb="FF0070C0"/>
        <rFont val="Cambria"/>
        <family val="1"/>
      </rPr>
      <t>21 MAY 2022</t>
    </r>
    <r>
      <rPr>
        <i/>
        <sz val="8"/>
        <rFont val="Cambria"/>
        <family val="1"/>
      </rPr>
      <t xml:space="preserve"> y BD Infraestructura propiedad del Distrito a corte </t>
    </r>
    <r>
      <rPr>
        <b/>
        <i/>
        <sz val="8"/>
        <color rgb="FF0070C0"/>
        <rFont val="Cambria"/>
        <family val="1"/>
      </rPr>
      <t>25 ABR 2022</t>
    </r>
    <r>
      <rPr>
        <i/>
        <sz val="8"/>
        <rFont val="Cambria"/>
        <family val="1"/>
      </rPr>
      <t>.</t>
    </r>
  </si>
  <si>
    <r>
      <rPr>
        <b/>
        <i/>
        <sz val="8"/>
        <rFont val="Cambria"/>
        <family val="1"/>
      </rPr>
      <t>Fuente Información</t>
    </r>
    <r>
      <rPr>
        <i/>
        <sz val="8"/>
        <rFont val="Cambria"/>
        <family val="1"/>
      </rPr>
      <t xml:space="preserve">: BD_AP Operativa Enel-Colombia a corte </t>
    </r>
    <r>
      <rPr>
        <b/>
        <i/>
        <sz val="8"/>
        <color rgb="FF0070C0"/>
        <rFont val="Cambria"/>
        <family val="1"/>
      </rPr>
      <t>30 JUN 2022</t>
    </r>
    <r>
      <rPr>
        <i/>
        <sz val="8"/>
        <rFont val="Cambria"/>
        <family val="1"/>
      </rPr>
      <t xml:space="preserve"> y BD Infraestructura propiedad del Distrito a corte </t>
    </r>
    <r>
      <rPr>
        <b/>
        <i/>
        <sz val="8"/>
        <color rgb="FF0070C0"/>
        <rFont val="Cambria"/>
        <family val="1"/>
      </rPr>
      <t>22 JUN 2022</t>
    </r>
    <r>
      <rPr>
        <i/>
        <sz val="8"/>
        <rFont val="Cambria"/>
        <family val="1"/>
      </rPr>
      <t>.</t>
    </r>
  </si>
  <si>
    <r>
      <rPr>
        <b/>
        <i/>
        <sz val="8"/>
        <rFont val="Cambria"/>
        <family val="1"/>
      </rPr>
      <t>Fuente Información</t>
    </r>
    <r>
      <rPr>
        <i/>
        <sz val="8"/>
        <rFont val="Cambria"/>
        <family val="1"/>
      </rPr>
      <t xml:space="preserve">: BD_AP Operativa Enel-Colombia a corte </t>
    </r>
    <r>
      <rPr>
        <b/>
        <i/>
        <sz val="8"/>
        <color rgb="FF0070C0"/>
        <rFont val="Cambria"/>
        <family val="1"/>
      </rPr>
      <t>30 JUL 2022</t>
    </r>
    <r>
      <rPr>
        <i/>
        <sz val="8"/>
        <rFont val="Cambria"/>
        <family val="1"/>
      </rPr>
      <t xml:space="preserve"> y BD Infraestructura propiedad del Distrito a corte </t>
    </r>
    <r>
      <rPr>
        <b/>
        <i/>
        <sz val="8"/>
        <color rgb="FF0070C0"/>
        <rFont val="Cambria"/>
        <family val="1"/>
      </rPr>
      <t>28 JUL 2022</t>
    </r>
    <r>
      <rPr>
        <i/>
        <sz val="8"/>
        <rFont val="Cambria"/>
        <family val="1"/>
      </rPr>
      <t>.</t>
    </r>
  </si>
  <si>
    <r>
      <rPr>
        <b/>
        <i/>
        <sz val="8"/>
        <rFont val="Cambria"/>
        <family val="1"/>
      </rPr>
      <t>Fuente Información</t>
    </r>
    <r>
      <rPr>
        <i/>
        <sz val="8"/>
        <rFont val="Cambria"/>
        <family val="1"/>
      </rPr>
      <t xml:space="preserve">: BD_AP Operativa Enel-Colombia a corte </t>
    </r>
    <r>
      <rPr>
        <b/>
        <i/>
        <sz val="8"/>
        <color rgb="FF0070C0"/>
        <rFont val="Cambria"/>
        <family val="1"/>
      </rPr>
      <t>30 AGO 2022</t>
    </r>
    <r>
      <rPr>
        <i/>
        <sz val="8"/>
        <rFont val="Cambria"/>
        <family val="1"/>
      </rPr>
      <t xml:space="preserve"> y BD Infraestructura propiedad del Distrito a corte </t>
    </r>
    <r>
      <rPr>
        <b/>
        <i/>
        <sz val="8"/>
        <color rgb="FF0070C0"/>
        <rFont val="Cambria"/>
        <family val="1"/>
      </rPr>
      <t>31 AGO 2022</t>
    </r>
    <r>
      <rPr>
        <i/>
        <sz val="8"/>
        <rFont val="Cambria"/>
        <family val="1"/>
      </rPr>
      <t>.</t>
    </r>
  </si>
  <si>
    <r>
      <rPr>
        <b/>
        <i/>
        <sz val="8"/>
        <rFont val="Cambria"/>
        <family val="1"/>
      </rPr>
      <t>Fuente Información</t>
    </r>
    <r>
      <rPr>
        <i/>
        <sz val="8"/>
        <rFont val="Cambria"/>
        <family val="1"/>
      </rPr>
      <t xml:space="preserve">: BD_AP Operativa Enel-Colombia a corte </t>
    </r>
    <r>
      <rPr>
        <b/>
        <i/>
        <sz val="8"/>
        <color rgb="FF0070C0"/>
        <rFont val="Cambria"/>
        <family val="1"/>
      </rPr>
      <t>30 SEP 2022</t>
    </r>
    <r>
      <rPr>
        <i/>
        <sz val="8"/>
        <rFont val="Cambria"/>
        <family val="1"/>
      </rPr>
      <t xml:space="preserve"> y BD Infraestructura propiedad del Distrito a corte </t>
    </r>
    <r>
      <rPr>
        <b/>
        <i/>
        <sz val="8"/>
        <color rgb="FF0070C0"/>
        <rFont val="Cambria"/>
        <family val="1"/>
      </rPr>
      <t>30 SEP 2022</t>
    </r>
    <r>
      <rPr>
        <i/>
        <sz val="8"/>
        <rFont val="Cambria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</si>
</sst>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21" x14ac:knownFonts="1">
    <font>
      <sz val="11"/>
      <color theme="1"/>
      <name val="Calibri"/>
      <family val="2"/>
      <scheme val="minor"/>
    </font>
    <font>
      <b/>
      <sz val="8"/>
      <color rgb="FF000000"/>
      <name val="Cambria"/>
      <family val="1"/>
    </font>
    <font>
      <sz val="8"/>
      <color rgb="FF000000"/>
      <name val="Cambria"/>
      <family val="1"/>
    </font>
    <font>
      <b/>
      <sz val="9"/>
      <color rgb="FF000000"/>
      <name val="Cambria"/>
      <family val="1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i/>
      <sz val="8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b/>
      <sz val="9"/>
      <color rgb="FF002060"/>
      <name val="Cambria"/>
      <family val="1"/>
    </font>
    <font>
      <b/>
      <sz val="9"/>
      <color rgb="FFFA7D00"/>
      <name val="Cambria"/>
      <family val="2"/>
    </font>
    <font>
      <b/>
      <sz val="9"/>
      <name val="Cambria"/>
      <family val="1"/>
    </font>
    <font>
      <b/>
      <sz val="8"/>
      <name val="Cambria"/>
      <family val="1"/>
    </font>
    <font>
      <b/>
      <sz val="12"/>
      <color theme="1"/>
      <name val="Cambria"/>
      <family val="1"/>
    </font>
    <font>
      <i/>
      <sz val="8"/>
      <name val="Cambria"/>
      <family val="1"/>
    </font>
    <font>
      <b/>
      <sz val="10"/>
      <color rgb="FF000000"/>
      <name val="Cambria"/>
      <family val="1"/>
    </font>
    <font>
      <b/>
      <i/>
      <sz val="8"/>
      <color theme="8" tint="-0.499984740745262"/>
      <name val="Cambria"/>
      <family val="1"/>
    </font>
    <font>
      <i/>
      <sz val="8"/>
      <color theme="8" tint="-0.499984740745262"/>
      <name val="Cambria"/>
      <family val="1"/>
    </font>
    <font>
      <b/>
      <i/>
      <sz val="8"/>
      <name val="Cambria"/>
      <family val="1"/>
    </font>
    <font>
      <b/>
      <i/>
      <sz val="8"/>
      <color rgb="FF0070C0"/>
      <name val="Cambria"/>
      <family val="1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3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0" fillId="4" borderId="12" applyNumberFormat="0" applyAlignment="0" applyProtection="0"/>
    <xf numFmtId="0" fontId="5" fillId="10" borderId="38" applyNumberFormat="0" applyFont="0" applyAlignment="0" applyProtection="0"/>
  </cellStyleXfs>
  <cellXfs count="77">
    <xf numFmtId="0" fontId="0" fillId="0" borderId="0" xfId="0"/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7" fillId="0" borderId="15" xfId="1" applyNumberFormat="1" applyFont="1" applyFill="1" applyBorder="1" applyAlignment="1">
      <alignment horizontal="center" vertical="center"/>
    </xf>
    <xf numFmtId="10" fontId="7" fillId="0" borderId="16" xfId="1" applyNumberFormat="1" applyFont="1" applyFill="1" applyBorder="1" applyAlignment="1">
      <alignment horizontal="center" vertical="center"/>
    </xf>
    <xf numFmtId="10" fontId="8" fillId="7" borderId="15" xfId="1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164" fontId="7" fillId="0" borderId="19" xfId="1" applyNumberFormat="1" applyFont="1" applyBorder="1" applyAlignment="1">
      <alignment horizontal="center" vertical="center"/>
    </xf>
    <xf numFmtId="0" fontId="11" fillId="6" borderId="20" xfId="2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right" vertical="center" wrapText="1"/>
    </xf>
    <xf numFmtId="0" fontId="12" fillId="6" borderId="22" xfId="0" applyFont="1" applyFill="1" applyBorder="1" applyAlignment="1">
      <alignment horizontal="right" vertical="center" wrapText="1"/>
    </xf>
    <xf numFmtId="0" fontId="7" fillId="0" borderId="23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0" fontId="7" fillId="0" borderId="15" xfId="1" applyNumberFormat="1" applyFont="1" applyBorder="1" applyAlignment="1">
      <alignment horizontal="center" vertical="center"/>
    </xf>
    <xf numFmtId="10" fontId="9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0" fontId="9" fillId="0" borderId="0" xfId="1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3" fillId="6" borderId="30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2" fillId="5" borderId="21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center" vertical="center" wrapText="1"/>
    </xf>
    <xf numFmtId="10" fontId="7" fillId="0" borderId="16" xfId="1" applyNumberFormat="1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right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 wrapText="1"/>
    </xf>
    <xf numFmtId="0" fontId="15" fillId="8" borderId="36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horizontal="right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5" fontId="4" fillId="10" borderId="38" xfId="3" applyNumberFormat="1" applyFont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  <xf numFmtId="10" fontId="9" fillId="0" borderId="5" xfId="1" applyNumberFormat="1" applyFont="1" applyBorder="1" applyAlignment="1">
      <alignment horizontal="center" vertical="center"/>
    </xf>
    <xf numFmtId="10" fontId="9" fillId="0" borderId="13" xfId="1" applyNumberFormat="1" applyFont="1" applyBorder="1" applyAlignment="1">
      <alignment horizontal="center" vertical="center"/>
    </xf>
    <xf numFmtId="10" fontId="9" fillId="0" borderId="14" xfId="1" applyNumberFormat="1" applyFont="1" applyBorder="1" applyAlignment="1">
      <alignment horizontal="center" vertical="center"/>
    </xf>
    <xf numFmtId="10" fontId="9" fillId="0" borderId="16" xfId="1" applyNumberFormat="1" applyFont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10" fontId="9" fillId="0" borderId="6" xfId="1" applyNumberFormat="1" applyFont="1" applyBorder="1" applyAlignment="1">
      <alignment horizontal="center" vertical="center"/>
    </xf>
    <xf numFmtId="10" fontId="9" fillId="0" borderId="8" xfId="1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</cellXfs>
  <cellStyles count="4">
    <cellStyle name="Cálculo" xfId="2" builtinId="22"/>
    <cellStyle name="Normal" xfId="0" builtinId="0"/>
    <cellStyle name="Notas" xfId="3" builtinId="10"/>
    <cellStyle name="Porcentaje" xfId="1" builtinId="5"/>
  </cellStyles>
  <dxfs count="0"/>
  <tableStyles count="0" defaultTableStyle="TableStyleMedium2" defaultPivotStyle="PivotStyleLight16"/>
  <colors>
    <mruColors>
      <color rgb="FF00FFFF"/>
      <color rgb="FF00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Consolidado Infraestructura AP Enel-Codensa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MAY!$D$3</c:f>
              <c:strCache>
                <c:ptCount val="1"/>
                <c:pt idx="0">
                  <c:v>LED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cat>
            <c:strRef>
              <c:f>MAY!$B$4:$B$23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MAY!$D$4:$D$23</c:f>
              <c:numCache>
                <c:formatCode>General</c:formatCode>
                <c:ptCount val="20"/>
                <c:pt idx="0">
                  <c:v>5204</c:v>
                </c:pt>
                <c:pt idx="1">
                  <c:v>1874</c:v>
                </c:pt>
                <c:pt idx="2">
                  <c:v>18832</c:v>
                </c:pt>
                <c:pt idx="3">
                  <c:v>4066</c:v>
                </c:pt>
                <c:pt idx="4">
                  <c:v>21149</c:v>
                </c:pt>
                <c:pt idx="5">
                  <c:v>24598</c:v>
                </c:pt>
                <c:pt idx="6">
                  <c:v>9523</c:v>
                </c:pt>
                <c:pt idx="7">
                  <c:v>32310</c:v>
                </c:pt>
                <c:pt idx="8">
                  <c:v>476</c:v>
                </c:pt>
                <c:pt idx="9">
                  <c:v>1602</c:v>
                </c:pt>
                <c:pt idx="10">
                  <c:v>14058</c:v>
                </c:pt>
                <c:pt idx="11">
                  <c:v>15111</c:v>
                </c:pt>
                <c:pt idx="12">
                  <c:v>14840</c:v>
                </c:pt>
                <c:pt idx="13">
                  <c:v>2478</c:v>
                </c:pt>
                <c:pt idx="14">
                  <c:v>2911</c:v>
                </c:pt>
                <c:pt idx="15">
                  <c:v>62</c:v>
                </c:pt>
                <c:pt idx="16">
                  <c:v>3698</c:v>
                </c:pt>
                <c:pt idx="17">
                  <c:v>602</c:v>
                </c:pt>
                <c:pt idx="18">
                  <c:v>15902</c:v>
                </c:pt>
                <c:pt idx="19">
                  <c:v>13445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3-450C-9DE1-90594181C4F9}"/>
            </c:ext>
          </c:extLst>
        </c:ser>
        <c:ser>
          <c:idx val="1"/>
          <c:order val="1"/>
          <c:tx>
            <c:strRef>
              <c:f>MAY!$E$3</c:f>
              <c:strCache>
                <c:ptCount val="1"/>
                <c:pt idx="0">
                  <c:v>Mh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MAY!$B$4:$B$23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MAY!$E$4:$E$23</c:f>
              <c:numCache>
                <c:formatCode>General</c:formatCode>
                <c:ptCount val="20"/>
                <c:pt idx="0">
                  <c:v>400</c:v>
                </c:pt>
                <c:pt idx="1">
                  <c:v>8767</c:v>
                </c:pt>
                <c:pt idx="2">
                  <c:v>1392</c:v>
                </c:pt>
                <c:pt idx="3">
                  <c:v>8177</c:v>
                </c:pt>
                <c:pt idx="4">
                  <c:v>2402</c:v>
                </c:pt>
                <c:pt idx="5">
                  <c:v>7207</c:v>
                </c:pt>
                <c:pt idx="6">
                  <c:v>4820</c:v>
                </c:pt>
                <c:pt idx="7">
                  <c:v>3159</c:v>
                </c:pt>
                <c:pt idx="8">
                  <c:v>1715</c:v>
                </c:pt>
                <c:pt idx="9">
                  <c:v>4886</c:v>
                </c:pt>
                <c:pt idx="10">
                  <c:v>1917</c:v>
                </c:pt>
                <c:pt idx="11">
                  <c:v>800</c:v>
                </c:pt>
                <c:pt idx="12">
                  <c:v>1446</c:v>
                </c:pt>
                <c:pt idx="13">
                  <c:v>4798</c:v>
                </c:pt>
                <c:pt idx="14">
                  <c:v>33615</c:v>
                </c:pt>
                <c:pt idx="15">
                  <c:v>189</c:v>
                </c:pt>
                <c:pt idx="16">
                  <c:v>8316</c:v>
                </c:pt>
                <c:pt idx="17">
                  <c:v>5755</c:v>
                </c:pt>
                <c:pt idx="18">
                  <c:v>4219</c:v>
                </c:pt>
                <c:pt idx="19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3-450C-9DE1-90594181C4F9}"/>
            </c:ext>
          </c:extLst>
        </c:ser>
        <c:ser>
          <c:idx val="2"/>
          <c:order val="2"/>
          <c:tx>
            <c:strRef>
              <c:f>MAY!$F$3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MAY!$B$4:$B$23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MAY!$F$4:$F$23</c:f>
              <c:numCache>
                <c:formatCode>General</c:formatCode>
                <c:ptCount val="20"/>
                <c:pt idx="0">
                  <c:v>71</c:v>
                </c:pt>
                <c:pt idx="1">
                  <c:v>1172</c:v>
                </c:pt>
                <c:pt idx="2">
                  <c:v>1958</c:v>
                </c:pt>
                <c:pt idx="3">
                  <c:v>1230</c:v>
                </c:pt>
                <c:pt idx="4">
                  <c:v>3868</c:v>
                </c:pt>
                <c:pt idx="5">
                  <c:v>4348</c:v>
                </c:pt>
                <c:pt idx="6">
                  <c:v>3488</c:v>
                </c:pt>
                <c:pt idx="7">
                  <c:v>4697</c:v>
                </c:pt>
                <c:pt idx="8">
                  <c:v>800</c:v>
                </c:pt>
                <c:pt idx="9">
                  <c:v>795</c:v>
                </c:pt>
                <c:pt idx="10">
                  <c:v>3032</c:v>
                </c:pt>
                <c:pt idx="11">
                  <c:v>587</c:v>
                </c:pt>
                <c:pt idx="12">
                  <c:v>1795</c:v>
                </c:pt>
                <c:pt idx="13">
                  <c:v>2079</c:v>
                </c:pt>
                <c:pt idx="14">
                  <c:v>6187</c:v>
                </c:pt>
                <c:pt idx="15">
                  <c:v>17</c:v>
                </c:pt>
                <c:pt idx="16">
                  <c:v>2456</c:v>
                </c:pt>
                <c:pt idx="17">
                  <c:v>758</c:v>
                </c:pt>
                <c:pt idx="18">
                  <c:v>5668</c:v>
                </c:pt>
                <c:pt idx="19">
                  <c:v>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3-450C-9DE1-90594181C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303871"/>
        <c:axId val="613315519"/>
      </c:barChart>
      <c:catAx>
        <c:axId val="6133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15519"/>
        <c:crosses val="autoZero"/>
        <c:auto val="1"/>
        <c:lblAlgn val="ctr"/>
        <c:lblOffset val="100"/>
        <c:noMultiLvlLbl val="0"/>
      </c:catAx>
      <c:valAx>
        <c:axId val="613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0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71364005737547"/>
          <c:y val="0.90799861483443989"/>
          <c:w val="0.40987713592178887"/>
          <c:h val="6.7510291631346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779-4934-BDCE-81128BE2242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779-4934-BDCE-81128BE2242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779-4934-BDCE-81128BE224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MAY!$D$32:$F$32</c:f>
              <c:strCache>
                <c:ptCount val="3"/>
                <c:pt idx="0">
                  <c:v>LED</c:v>
                </c:pt>
                <c:pt idx="1">
                  <c:v>Mh</c:v>
                </c:pt>
                <c:pt idx="2">
                  <c:v>Na</c:v>
                </c:pt>
              </c:strCache>
            </c:strRef>
          </c:cat>
          <c:val>
            <c:numRef>
              <c:f>MAY!$D$33:$F$33</c:f>
              <c:numCache>
                <c:formatCode>General</c:formatCode>
                <c:ptCount val="3"/>
                <c:pt idx="0">
                  <c:v>204957</c:v>
                </c:pt>
                <c:pt idx="1">
                  <c:v>107119</c:v>
                </c:pt>
                <c:pt idx="2">
                  <c:v>49158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79-4934-BDCE-81128BE2242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Consolidado Infraestructura AP Enel-Codensa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JUN!$C$3</c:f>
              <c:strCache>
                <c:ptCount val="1"/>
                <c:pt idx="0">
                  <c:v>LED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cat>
            <c:strRef>
              <c:f>JUN!$B$4:$B$23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JUN!$C$4:$C$23</c:f>
              <c:numCache>
                <c:formatCode>General</c:formatCode>
                <c:ptCount val="20"/>
                <c:pt idx="0">
                  <c:v>5228</c:v>
                </c:pt>
                <c:pt idx="1">
                  <c:v>2042</c:v>
                </c:pt>
                <c:pt idx="2">
                  <c:v>20592</c:v>
                </c:pt>
                <c:pt idx="3">
                  <c:v>4523</c:v>
                </c:pt>
                <c:pt idx="4">
                  <c:v>23686</c:v>
                </c:pt>
                <c:pt idx="5">
                  <c:v>27517</c:v>
                </c:pt>
                <c:pt idx="6">
                  <c:v>10714</c:v>
                </c:pt>
                <c:pt idx="7">
                  <c:v>33617</c:v>
                </c:pt>
                <c:pt idx="8">
                  <c:v>476</c:v>
                </c:pt>
                <c:pt idx="9">
                  <c:v>2024</c:v>
                </c:pt>
                <c:pt idx="10">
                  <c:v>15304</c:v>
                </c:pt>
                <c:pt idx="11">
                  <c:v>15587</c:v>
                </c:pt>
                <c:pt idx="12">
                  <c:v>16918</c:v>
                </c:pt>
                <c:pt idx="13">
                  <c:v>2563</c:v>
                </c:pt>
                <c:pt idx="14">
                  <c:v>4369</c:v>
                </c:pt>
                <c:pt idx="15">
                  <c:v>86</c:v>
                </c:pt>
                <c:pt idx="16">
                  <c:v>4855</c:v>
                </c:pt>
                <c:pt idx="17">
                  <c:v>746</c:v>
                </c:pt>
                <c:pt idx="18">
                  <c:v>18667</c:v>
                </c:pt>
                <c:pt idx="19">
                  <c:v>14345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7-41D5-9803-D5E6C0DB4486}"/>
            </c:ext>
          </c:extLst>
        </c:ser>
        <c:ser>
          <c:idx val="1"/>
          <c:order val="1"/>
          <c:tx>
            <c:strRef>
              <c:f>JUN!$D$3</c:f>
              <c:strCache>
                <c:ptCount val="1"/>
                <c:pt idx="0">
                  <c:v>Mh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JUN!$B$4:$B$23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JUN!$D$4:$D$23</c:f>
              <c:numCache>
                <c:formatCode>General</c:formatCode>
                <c:ptCount val="20"/>
                <c:pt idx="0">
                  <c:v>445</c:v>
                </c:pt>
                <c:pt idx="1">
                  <c:v>8773</c:v>
                </c:pt>
                <c:pt idx="2">
                  <c:v>1287</c:v>
                </c:pt>
                <c:pt idx="3">
                  <c:v>8223</c:v>
                </c:pt>
                <c:pt idx="4">
                  <c:v>3099</c:v>
                </c:pt>
                <c:pt idx="5">
                  <c:v>6798</c:v>
                </c:pt>
                <c:pt idx="6">
                  <c:v>5005</c:v>
                </c:pt>
                <c:pt idx="7">
                  <c:v>3831</c:v>
                </c:pt>
                <c:pt idx="8">
                  <c:v>2322</c:v>
                </c:pt>
                <c:pt idx="9">
                  <c:v>4977</c:v>
                </c:pt>
                <c:pt idx="10">
                  <c:v>2216</c:v>
                </c:pt>
                <c:pt idx="11">
                  <c:v>850</c:v>
                </c:pt>
                <c:pt idx="12">
                  <c:v>1123</c:v>
                </c:pt>
                <c:pt idx="13">
                  <c:v>5839</c:v>
                </c:pt>
                <c:pt idx="14">
                  <c:v>35321</c:v>
                </c:pt>
                <c:pt idx="15">
                  <c:v>206</c:v>
                </c:pt>
                <c:pt idx="16">
                  <c:v>8194</c:v>
                </c:pt>
                <c:pt idx="17">
                  <c:v>5811</c:v>
                </c:pt>
                <c:pt idx="18">
                  <c:v>4280</c:v>
                </c:pt>
                <c:pt idx="19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7-41D5-9803-D5E6C0DB4486}"/>
            </c:ext>
          </c:extLst>
        </c:ser>
        <c:ser>
          <c:idx val="2"/>
          <c:order val="2"/>
          <c:tx>
            <c:strRef>
              <c:f>JUN!$E$3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JUN!$B$4:$B$23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JUN!$E$4:$E$23</c:f>
              <c:numCache>
                <c:formatCode>General</c:formatCode>
                <c:ptCount val="20"/>
                <c:pt idx="0">
                  <c:v>9</c:v>
                </c:pt>
                <c:pt idx="1">
                  <c:v>1001</c:v>
                </c:pt>
                <c:pt idx="2">
                  <c:v>299</c:v>
                </c:pt>
                <c:pt idx="3">
                  <c:v>739</c:v>
                </c:pt>
                <c:pt idx="4">
                  <c:v>710</c:v>
                </c:pt>
                <c:pt idx="5">
                  <c:v>1676</c:v>
                </c:pt>
                <c:pt idx="6">
                  <c:v>2038</c:v>
                </c:pt>
                <c:pt idx="7">
                  <c:v>2700</c:v>
                </c:pt>
                <c:pt idx="8">
                  <c:v>191</c:v>
                </c:pt>
                <c:pt idx="9">
                  <c:v>245</c:v>
                </c:pt>
                <c:pt idx="10">
                  <c:v>1487</c:v>
                </c:pt>
                <c:pt idx="11">
                  <c:v>80</c:v>
                </c:pt>
                <c:pt idx="12">
                  <c:v>56</c:v>
                </c:pt>
                <c:pt idx="13">
                  <c:v>960</c:v>
                </c:pt>
                <c:pt idx="14">
                  <c:v>2681</c:v>
                </c:pt>
                <c:pt idx="16">
                  <c:v>1412</c:v>
                </c:pt>
                <c:pt idx="17">
                  <c:v>566</c:v>
                </c:pt>
                <c:pt idx="18">
                  <c:v>2825</c:v>
                </c:pt>
                <c:pt idx="19">
                  <c:v>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7-41D5-9803-D5E6C0DB4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303871"/>
        <c:axId val="613315519"/>
      </c:barChart>
      <c:catAx>
        <c:axId val="6133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15519"/>
        <c:crosses val="autoZero"/>
        <c:auto val="1"/>
        <c:lblAlgn val="ctr"/>
        <c:lblOffset val="100"/>
        <c:noMultiLvlLbl val="0"/>
      </c:catAx>
      <c:valAx>
        <c:axId val="613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0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71364005737547"/>
          <c:y val="0.90799861483443989"/>
          <c:w val="0.40987713592178887"/>
          <c:h val="6.7510291631346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2AA-4608-BB22-38DF826A9D2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2AA-4608-BB22-38DF826A9D2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2AA-4608-BB22-38DF826A9D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JUN!$C$32:$E$32</c:f>
              <c:strCache>
                <c:ptCount val="3"/>
                <c:pt idx="0">
                  <c:v>LED</c:v>
                </c:pt>
                <c:pt idx="1">
                  <c:v>Mh</c:v>
                </c:pt>
                <c:pt idx="2">
                  <c:v>Na</c:v>
                </c:pt>
              </c:strCache>
            </c:strRef>
          </c:cat>
          <c:val>
            <c:numRef>
              <c:f>JUN!$C$33:$E$33</c:f>
              <c:numCache>
                <c:formatCode>General</c:formatCode>
                <c:ptCount val="3"/>
                <c:pt idx="0">
                  <c:v>226123</c:v>
                </c:pt>
                <c:pt idx="1">
                  <c:v>112106</c:v>
                </c:pt>
                <c:pt idx="2">
                  <c:v>22558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A-4608-BB22-38DF826A9D2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Consolidado Infraestructura AP Enel-Codensa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'JUN v.2'!$C$3</c:f>
              <c:strCache>
                <c:ptCount val="1"/>
                <c:pt idx="0">
                  <c:v>LED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cat>
            <c:strRef>
              <c:f>'JUN v.2'!$B$4:$B$23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'JUN v.2'!$C$4:$C$23</c:f>
              <c:numCache>
                <c:formatCode>General</c:formatCode>
                <c:ptCount val="20"/>
                <c:pt idx="0">
                  <c:v>5236</c:v>
                </c:pt>
                <c:pt idx="1">
                  <c:v>2104</c:v>
                </c:pt>
                <c:pt idx="2">
                  <c:v>20473</c:v>
                </c:pt>
                <c:pt idx="3">
                  <c:v>4532</c:v>
                </c:pt>
                <c:pt idx="4">
                  <c:v>23707</c:v>
                </c:pt>
                <c:pt idx="5">
                  <c:v>27494</c:v>
                </c:pt>
                <c:pt idx="6">
                  <c:v>10723</c:v>
                </c:pt>
                <c:pt idx="7">
                  <c:v>33629</c:v>
                </c:pt>
                <c:pt idx="8">
                  <c:v>476</c:v>
                </c:pt>
                <c:pt idx="9">
                  <c:v>2048</c:v>
                </c:pt>
                <c:pt idx="10">
                  <c:v>15328</c:v>
                </c:pt>
                <c:pt idx="11">
                  <c:v>15602</c:v>
                </c:pt>
                <c:pt idx="12">
                  <c:v>16897</c:v>
                </c:pt>
                <c:pt idx="13">
                  <c:v>2570</c:v>
                </c:pt>
                <c:pt idx="14">
                  <c:v>4365</c:v>
                </c:pt>
                <c:pt idx="15">
                  <c:v>86</c:v>
                </c:pt>
                <c:pt idx="16">
                  <c:v>4706</c:v>
                </c:pt>
                <c:pt idx="17">
                  <c:v>751</c:v>
                </c:pt>
                <c:pt idx="18">
                  <c:v>18490</c:v>
                </c:pt>
                <c:pt idx="19">
                  <c:v>14352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2-4B0C-B61F-2736D66AAABC}"/>
            </c:ext>
          </c:extLst>
        </c:ser>
        <c:ser>
          <c:idx val="1"/>
          <c:order val="1"/>
          <c:tx>
            <c:strRef>
              <c:f>'JUN v.2'!$D$3</c:f>
              <c:strCache>
                <c:ptCount val="1"/>
                <c:pt idx="0">
                  <c:v>Mh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'JUN v.2'!$B$4:$B$23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'JUN v.2'!$D$4:$D$23</c:f>
              <c:numCache>
                <c:formatCode>General</c:formatCode>
                <c:ptCount val="20"/>
                <c:pt idx="0">
                  <c:v>496</c:v>
                </c:pt>
                <c:pt idx="1">
                  <c:v>8761</c:v>
                </c:pt>
                <c:pt idx="2">
                  <c:v>1532</c:v>
                </c:pt>
                <c:pt idx="3">
                  <c:v>8214</c:v>
                </c:pt>
                <c:pt idx="4">
                  <c:v>2671</c:v>
                </c:pt>
                <c:pt idx="5">
                  <c:v>6783</c:v>
                </c:pt>
                <c:pt idx="6">
                  <c:v>4983</c:v>
                </c:pt>
                <c:pt idx="7">
                  <c:v>3595</c:v>
                </c:pt>
                <c:pt idx="8">
                  <c:v>1848</c:v>
                </c:pt>
                <c:pt idx="9">
                  <c:v>5016</c:v>
                </c:pt>
                <c:pt idx="10">
                  <c:v>2191</c:v>
                </c:pt>
                <c:pt idx="11">
                  <c:v>831</c:v>
                </c:pt>
                <c:pt idx="12">
                  <c:v>1478</c:v>
                </c:pt>
                <c:pt idx="13">
                  <c:v>5479</c:v>
                </c:pt>
                <c:pt idx="14">
                  <c:v>34989</c:v>
                </c:pt>
                <c:pt idx="15">
                  <c:v>202</c:v>
                </c:pt>
                <c:pt idx="16">
                  <c:v>8541</c:v>
                </c:pt>
                <c:pt idx="17">
                  <c:v>5878</c:v>
                </c:pt>
                <c:pt idx="18">
                  <c:v>4263</c:v>
                </c:pt>
                <c:pt idx="19">
                  <c:v>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2-4B0C-B61F-2736D66AAABC}"/>
            </c:ext>
          </c:extLst>
        </c:ser>
        <c:ser>
          <c:idx val="2"/>
          <c:order val="2"/>
          <c:tx>
            <c:strRef>
              <c:f>'JUN v.2'!$E$3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'JUN v.2'!$B$4:$B$23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'JUN v.2'!$E$4:$E$23</c:f>
              <c:numCache>
                <c:formatCode>General</c:formatCode>
                <c:ptCount val="20"/>
                <c:pt idx="0">
                  <c:v>9</c:v>
                </c:pt>
                <c:pt idx="1">
                  <c:v>1028</c:v>
                </c:pt>
                <c:pt idx="2">
                  <c:v>329</c:v>
                </c:pt>
                <c:pt idx="3">
                  <c:v>741</c:v>
                </c:pt>
                <c:pt idx="4">
                  <c:v>942</c:v>
                </c:pt>
                <c:pt idx="5">
                  <c:v>1684</c:v>
                </c:pt>
                <c:pt idx="6">
                  <c:v>2075</c:v>
                </c:pt>
                <c:pt idx="7">
                  <c:v>2718</c:v>
                </c:pt>
                <c:pt idx="8">
                  <c:v>191</c:v>
                </c:pt>
                <c:pt idx="9">
                  <c:v>246</c:v>
                </c:pt>
                <c:pt idx="10">
                  <c:v>1515</c:v>
                </c:pt>
                <c:pt idx="11">
                  <c:v>80</c:v>
                </c:pt>
                <c:pt idx="12">
                  <c:v>61</c:v>
                </c:pt>
                <c:pt idx="13">
                  <c:v>764</c:v>
                </c:pt>
                <c:pt idx="14">
                  <c:v>3032</c:v>
                </c:pt>
                <c:pt idx="16">
                  <c:v>1482</c:v>
                </c:pt>
                <c:pt idx="17">
                  <c:v>566</c:v>
                </c:pt>
                <c:pt idx="18">
                  <c:v>2916</c:v>
                </c:pt>
                <c:pt idx="19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E2-4B0C-B61F-2736D66AA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303871"/>
        <c:axId val="613315519"/>
      </c:barChart>
      <c:catAx>
        <c:axId val="6133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15519"/>
        <c:crosses val="autoZero"/>
        <c:auto val="1"/>
        <c:lblAlgn val="ctr"/>
        <c:lblOffset val="100"/>
        <c:noMultiLvlLbl val="0"/>
      </c:catAx>
      <c:valAx>
        <c:axId val="613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0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71364005737547"/>
          <c:y val="0.90799861483443989"/>
          <c:w val="0.40987713592178887"/>
          <c:h val="6.7510291631346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A25-4AE4-8E5E-2FCE8A23D94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A25-4AE4-8E5E-2FCE8A23D94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A25-4AE4-8E5E-2FCE8A23D9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 v.2'!$C$32:$E$32</c:f>
              <c:strCache>
                <c:ptCount val="3"/>
                <c:pt idx="0">
                  <c:v>LED</c:v>
                </c:pt>
                <c:pt idx="1">
                  <c:v>Mh</c:v>
                </c:pt>
                <c:pt idx="2">
                  <c:v>Na</c:v>
                </c:pt>
              </c:strCache>
            </c:strRef>
          </c:cat>
          <c:val>
            <c:numRef>
              <c:f>'JUN v.2'!$C$33:$E$33</c:f>
              <c:numCache>
                <c:formatCode>General</c:formatCode>
                <c:ptCount val="3"/>
                <c:pt idx="0">
                  <c:v>225833</c:v>
                </c:pt>
                <c:pt idx="1">
                  <c:v>111216</c:v>
                </c:pt>
                <c:pt idx="2">
                  <c:v>23267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25-4AE4-8E5E-2FCE8A23D94A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Consolidado Infraestructura AP Enel-Codensa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JUL!$C$3</c:f>
              <c:strCache>
                <c:ptCount val="1"/>
                <c:pt idx="0">
                  <c:v>LED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cat>
            <c:strRef>
              <c:f>JUL!$B$4:$B$23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JUL!$C$4:$C$23</c:f>
              <c:numCache>
                <c:formatCode>General</c:formatCode>
                <c:ptCount val="20"/>
                <c:pt idx="0">
                  <c:v>5236</c:v>
                </c:pt>
                <c:pt idx="1">
                  <c:v>2104</c:v>
                </c:pt>
                <c:pt idx="2">
                  <c:v>20481</c:v>
                </c:pt>
                <c:pt idx="3">
                  <c:v>4532</c:v>
                </c:pt>
                <c:pt idx="4">
                  <c:v>23712</c:v>
                </c:pt>
                <c:pt idx="5">
                  <c:v>27500</c:v>
                </c:pt>
                <c:pt idx="6">
                  <c:v>10727</c:v>
                </c:pt>
                <c:pt idx="7">
                  <c:v>33647</c:v>
                </c:pt>
                <c:pt idx="8">
                  <c:v>476</c:v>
                </c:pt>
                <c:pt idx="9">
                  <c:v>2048</c:v>
                </c:pt>
                <c:pt idx="10">
                  <c:v>15331</c:v>
                </c:pt>
                <c:pt idx="11">
                  <c:v>15603</c:v>
                </c:pt>
                <c:pt idx="12">
                  <c:v>16897</c:v>
                </c:pt>
                <c:pt idx="13">
                  <c:v>2570</c:v>
                </c:pt>
                <c:pt idx="14">
                  <c:v>4364</c:v>
                </c:pt>
                <c:pt idx="15">
                  <c:v>86</c:v>
                </c:pt>
                <c:pt idx="16">
                  <c:v>4708</c:v>
                </c:pt>
                <c:pt idx="17">
                  <c:v>752</c:v>
                </c:pt>
                <c:pt idx="18">
                  <c:v>18492</c:v>
                </c:pt>
                <c:pt idx="19">
                  <c:v>14358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8-48D3-86E2-15B7302AE0B4}"/>
            </c:ext>
          </c:extLst>
        </c:ser>
        <c:ser>
          <c:idx val="1"/>
          <c:order val="1"/>
          <c:tx>
            <c:strRef>
              <c:f>JUL!$D$3</c:f>
              <c:strCache>
                <c:ptCount val="1"/>
                <c:pt idx="0">
                  <c:v>Mh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JUL!$B$4:$B$23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JUL!$D$4:$D$23</c:f>
              <c:numCache>
                <c:formatCode>General</c:formatCode>
                <c:ptCount val="20"/>
                <c:pt idx="0">
                  <c:v>496</c:v>
                </c:pt>
                <c:pt idx="1">
                  <c:v>8761</c:v>
                </c:pt>
                <c:pt idx="2">
                  <c:v>1532</c:v>
                </c:pt>
                <c:pt idx="3">
                  <c:v>8214</c:v>
                </c:pt>
                <c:pt idx="4">
                  <c:v>2684</c:v>
                </c:pt>
                <c:pt idx="5">
                  <c:v>6783</c:v>
                </c:pt>
                <c:pt idx="6">
                  <c:v>4983</c:v>
                </c:pt>
                <c:pt idx="7">
                  <c:v>3594</c:v>
                </c:pt>
                <c:pt idx="8">
                  <c:v>1848</c:v>
                </c:pt>
                <c:pt idx="9">
                  <c:v>5016</c:v>
                </c:pt>
                <c:pt idx="10">
                  <c:v>2191</c:v>
                </c:pt>
                <c:pt idx="11">
                  <c:v>831</c:v>
                </c:pt>
                <c:pt idx="12">
                  <c:v>1478</c:v>
                </c:pt>
                <c:pt idx="13">
                  <c:v>5475</c:v>
                </c:pt>
                <c:pt idx="14">
                  <c:v>34980</c:v>
                </c:pt>
                <c:pt idx="15">
                  <c:v>202</c:v>
                </c:pt>
                <c:pt idx="16">
                  <c:v>8538</c:v>
                </c:pt>
                <c:pt idx="17">
                  <c:v>5878</c:v>
                </c:pt>
                <c:pt idx="18">
                  <c:v>4266</c:v>
                </c:pt>
                <c:pt idx="19">
                  <c:v>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8-48D3-86E2-15B7302AE0B4}"/>
            </c:ext>
          </c:extLst>
        </c:ser>
        <c:ser>
          <c:idx val="2"/>
          <c:order val="2"/>
          <c:tx>
            <c:strRef>
              <c:f>JUL!$E$3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JUL!$B$4:$B$23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JUL!$E$4:$E$23</c:f>
              <c:numCache>
                <c:formatCode>General</c:formatCode>
                <c:ptCount val="20"/>
                <c:pt idx="0">
                  <c:v>9</c:v>
                </c:pt>
                <c:pt idx="1">
                  <c:v>1028</c:v>
                </c:pt>
                <c:pt idx="2">
                  <c:v>327</c:v>
                </c:pt>
                <c:pt idx="3">
                  <c:v>741</c:v>
                </c:pt>
                <c:pt idx="4">
                  <c:v>925</c:v>
                </c:pt>
                <c:pt idx="5">
                  <c:v>1691</c:v>
                </c:pt>
                <c:pt idx="6">
                  <c:v>2075</c:v>
                </c:pt>
                <c:pt idx="7">
                  <c:v>2718</c:v>
                </c:pt>
                <c:pt idx="8">
                  <c:v>191</c:v>
                </c:pt>
                <c:pt idx="9">
                  <c:v>246</c:v>
                </c:pt>
                <c:pt idx="10">
                  <c:v>1515</c:v>
                </c:pt>
                <c:pt idx="11">
                  <c:v>80</c:v>
                </c:pt>
                <c:pt idx="12">
                  <c:v>60</c:v>
                </c:pt>
                <c:pt idx="13">
                  <c:v>762</c:v>
                </c:pt>
                <c:pt idx="14">
                  <c:v>3032</c:v>
                </c:pt>
                <c:pt idx="16">
                  <c:v>1482</c:v>
                </c:pt>
                <c:pt idx="17">
                  <c:v>566</c:v>
                </c:pt>
                <c:pt idx="18">
                  <c:v>2913</c:v>
                </c:pt>
                <c:pt idx="19">
                  <c:v>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8-48D3-86E2-15B7302AE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303871"/>
        <c:axId val="613315519"/>
      </c:barChart>
      <c:catAx>
        <c:axId val="6133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15519"/>
        <c:crosses val="autoZero"/>
        <c:auto val="1"/>
        <c:lblAlgn val="ctr"/>
        <c:lblOffset val="100"/>
        <c:noMultiLvlLbl val="0"/>
      </c:catAx>
      <c:valAx>
        <c:axId val="613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0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71364005737547"/>
          <c:y val="0.90799861483443989"/>
          <c:w val="0.40987713592178887"/>
          <c:h val="6.7510291631346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FA9-4D6C-A7CD-4963DD470AE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FA9-4D6C-A7CD-4963DD470AE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FA9-4D6C-A7CD-4963DD470A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JUL!$C$32:$E$32</c:f>
              <c:strCache>
                <c:ptCount val="3"/>
                <c:pt idx="0">
                  <c:v>LED</c:v>
                </c:pt>
                <c:pt idx="1">
                  <c:v>Mh</c:v>
                </c:pt>
                <c:pt idx="2">
                  <c:v>Na</c:v>
                </c:pt>
              </c:strCache>
            </c:strRef>
          </c:cat>
          <c:val>
            <c:numRef>
              <c:f>JUL!$C$33:$E$33</c:f>
              <c:numCache>
                <c:formatCode>General</c:formatCode>
                <c:ptCount val="3"/>
                <c:pt idx="0">
                  <c:v>225915</c:v>
                </c:pt>
                <c:pt idx="1">
                  <c:v>111218</c:v>
                </c:pt>
                <c:pt idx="2">
                  <c:v>23246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A9-4D6C-A7CD-4963DD470AE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Consolidado Infraestructura AP Enel-Codensa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AGO!$C$3</c:f>
              <c:strCache>
                <c:ptCount val="1"/>
                <c:pt idx="0">
                  <c:v>LED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cat>
            <c:strRef>
              <c:f>AGO!$B$4:$B$23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AGO!$C$4:$C$23</c:f>
              <c:numCache>
                <c:formatCode>General</c:formatCode>
                <c:ptCount val="20"/>
                <c:pt idx="0">
                  <c:v>5241</c:v>
                </c:pt>
                <c:pt idx="1">
                  <c:v>2112</c:v>
                </c:pt>
                <c:pt idx="2">
                  <c:v>20485</c:v>
                </c:pt>
                <c:pt idx="3">
                  <c:v>4542</c:v>
                </c:pt>
                <c:pt idx="4">
                  <c:v>23737</c:v>
                </c:pt>
                <c:pt idx="5">
                  <c:v>27514</c:v>
                </c:pt>
                <c:pt idx="6">
                  <c:v>10739</c:v>
                </c:pt>
                <c:pt idx="7">
                  <c:v>33658</c:v>
                </c:pt>
                <c:pt idx="8">
                  <c:v>478</c:v>
                </c:pt>
                <c:pt idx="9">
                  <c:v>2050</c:v>
                </c:pt>
                <c:pt idx="10">
                  <c:v>15339</c:v>
                </c:pt>
                <c:pt idx="11">
                  <c:v>15619</c:v>
                </c:pt>
                <c:pt idx="12">
                  <c:v>16906</c:v>
                </c:pt>
                <c:pt idx="13">
                  <c:v>2572</c:v>
                </c:pt>
                <c:pt idx="14">
                  <c:v>4368</c:v>
                </c:pt>
                <c:pt idx="15">
                  <c:v>86</c:v>
                </c:pt>
                <c:pt idx="16">
                  <c:v>4724</c:v>
                </c:pt>
                <c:pt idx="17">
                  <c:v>748</c:v>
                </c:pt>
                <c:pt idx="18">
                  <c:v>18513</c:v>
                </c:pt>
                <c:pt idx="19">
                  <c:v>14371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D-46AD-AF7E-563E9254F088}"/>
            </c:ext>
          </c:extLst>
        </c:ser>
        <c:ser>
          <c:idx val="1"/>
          <c:order val="1"/>
          <c:tx>
            <c:strRef>
              <c:f>AGO!$D$3</c:f>
              <c:strCache>
                <c:ptCount val="1"/>
                <c:pt idx="0">
                  <c:v>Mh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AGO!$B$4:$B$23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AGO!$D$4:$D$23</c:f>
              <c:numCache>
                <c:formatCode>General</c:formatCode>
                <c:ptCount val="20"/>
                <c:pt idx="0">
                  <c:v>494</c:v>
                </c:pt>
                <c:pt idx="1">
                  <c:v>8760</c:v>
                </c:pt>
                <c:pt idx="2">
                  <c:v>1531</c:v>
                </c:pt>
                <c:pt idx="3">
                  <c:v>8214</c:v>
                </c:pt>
                <c:pt idx="4">
                  <c:v>2683</c:v>
                </c:pt>
                <c:pt idx="5">
                  <c:v>6787</c:v>
                </c:pt>
                <c:pt idx="6">
                  <c:v>4982</c:v>
                </c:pt>
                <c:pt idx="7">
                  <c:v>3591</c:v>
                </c:pt>
                <c:pt idx="8">
                  <c:v>1848</c:v>
                </c:pt>
                <c:pt idx="9">
                  <c:v>5016</c:v>
                </c:pt>
                <c:pt idx="10">
                  <c:v>2190</c:v>
                </c:pt>
                <c:pt idx="11">
                  <c:v>831</c:v>
                </c:pt>
                <c:pt idx="12">
                  <c:v>1477</c:v>
                </c:pt>
                <c:pt idx="13">
                  <c:v>5476</c:v>
                </c:pt>
                <c:pt idx="14">
                  <c:v>34978</c:v>
                </c:pt>
                <c:pt idx="15">
                  <c:v>202</c:v>
                </c:pt>
                <c:pt idx="16">
                  <c:v>8538</c:v>
                </c:pt>
                <c:pt idx="17">
                  <c:v>5878</c:v>
                </c:pt>
                <c:pt idx="18">
                  <c:v>4265</c:v>
                </c:pt>
                <c:pt idx="19">
                  <c:v>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D-46AD-AF7E-563E9254F088}"/>
            </c:ext>
          </c:extLst>
        </c:ser>
        <c:ser>
          <c:idx val="2"/>
          <c:order val="2"/>
          <c:tx>
            <c:strRef>
              <c:f>AGO!$E$3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AGO!$B$4:$B$23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AGO!$E$4:$E$23</c:f>
              <c:numCache>
                <c:formatCode>General</c:formatCode>
                <c:ptCount val="20"/>
                <c:pt idx="0">
                  <c:v>9</c:v>
                </c:pt>
                <c:pt idx="1">
                  <c:v>1028</c:v>
                </c:pt>
                <c:pt idx="2">
                  <c:v>326</c:v>
                </c:pt>
                <c:pt idx="3">
                  <c:v>741</c:v>
                </c:pt>
                <c:pt idx="4">
                  <c:v>924</c:v>
                </c:pt>
                <c:pt idx="5">
                  <c:v>1692</c:v>
                </c:pt>
                <c:pt idx="6">
                  <c:v>2072</c:v>
                </c:pt>
                <c:pt idx="7">
                  <c:v>2714</c:v>
                </c:pt>
                <c:pt idx="8">
                  <c:v>191</c:v>
                </c:pt>
                <c:pt idx="9">
                  <c:v>246</c:v>
                </c:pt>
                <c:pt idx="10">
                  <c:v>1511</c:v>
                </c:pt>
                <c:pt idx="11">
                  <c:v>80</c:v>
                </c:pt>
                <c:pt idx="12">
                  <c:v>60</c:v>
                </c:pt>
                <c:pt idx="13">
                  <c:v>762</c:v>
                </c:pt>
                <c:pt idx="14">
                  <c:v>3032</c:v>
                </c:pt>
                <c:pt idx="16">
                  <c:v>1482</c:v>
                </c:pt>
                <c:pt idx="17">
                  <c:v>565</c:v>
                </c:pt>
                <c:pt idx="18">
                  <c:v>2912</c:v>
                </c:pt>
                <c:pt idx="19">
                  <c:v>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D-46AD-AF7E-563E9254F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303871"/>
        <c:axId val="613315519"/>
      </c:barChart>
      <c:catAx>
        <c:axId val="6133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15519"/>
        <c:crosses val="autoZero"/>
        <c:auto val="1"/>
        <c:lblAlgn val="ctr"/>
        <c:lblOffset val="100"/>
        <c:noMultiLvlLbl val="0"/>
      </c:catAx>
      <c:valAx>
        <c:axId val="613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0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71364005737547"/>
          <c:y val="0.90799861483443989"/>
          <c:w val="0.40987713592178887"/>
          <c:h val="6.7510291631346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D98-40EC-93B9-F32AAB68739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D98-40EC-93B9-F32AAB68739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D98-40EC-93B9-F32AAB6873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AGO!$C$32:$E$32</c:f>
              <c:strCache>
                <c:ptCount val="3"/>
                <c:pt idx="0">
                  <c:v>LED</c:v>
                </c:pt>
                <c:pt idx="1">
                  <c:v>Mh</c:v>
                </c:pt>
                <c:pt idx="2">
                  <c:v>Na</c:v>
                </c:pt>
              </c:strCache>
            </c:strRef>
          </c:cat>
          <c:val>
            <c:numRef>
              <c:f>AGO!$C$33:$E$33</c:f>
              <c:numCache>
                <c:formatCode>General</c:formatCode>
                <c:ptCount val="3"/>
                <c:pt idx="0">
                  <c:v>226215</c:v>
                </c:pt>
                <c:pt idx="1">
                  <c:v>111209</c:v>
                </c:pt>
                <c:pt idx="2">
                  <c:v>23232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98-40EC-93B9-F32AAB68739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Consolidado Infraestructura AP Enel-Codensa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SEP!$C$3</c:f>
              <c:strCache>
                <c:ptCount val="1"/>
                <c:pt idx="0">
                  <c:v>LED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cat>
            <c:strRef>
              <c:f>SEP!$B$4:$B$23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SEP!$C$4:$C$23</c:f>
              <c:numCache>
                <c:formatCode>General</c:formatCode>
                <c:ptCount val="20"/>
                <c:pt idx="0">
                  <c:v>5241</c:v>
                </c:pt>
                <c:pt idx="1">
                  <c:v>2112</c:v>
                </c:pt>
                <c:pt idx="2">
                  <c:v>20489</c:v>
                </c:pt>
                <c:pt idx="3">
                  <c:v>4553</c:v>
                </c:pt>
                <c:pt idx="4">
                  <c:v>23756</c:v>
                </c:pt>
                <c:pt idx="5">
                  <c:v>27537</c:v>
                </c:pt>
                <c:pt idx="6">
                  <c:v>10743</c:v>
                </c:pt>
                <c:pt idx="7">
                  <c:v>33664</c:v>
                </c:pt>
                <c:pt idx="8">
                  <c:v>478</c:v>
                </c:pt>
                <c:pt idx="9">
                  <c:v>2052</c:v>
                </c:pt>
                <c:pt idx="10">
                  <c:v>15346</c:v>
                </c:pt>
                <c:pt idx="11">
                  <c:v>15620</c:v>
                </c:pt>
                <c:pt idx="12">
                  <c:v>16916</c:v>
                </c:pt>
                <c:pt idx="13">
                  <c:v>2573</c:v>
                </c:pt>
                <c:pt idx="14">
                  <c:v>4385</c:v>
                </c:pt>
                <c:pt idx="15">
                  <c:v>86</c:v>
                </c:pt>
                <c:pt idx="16">
                  <c:v>4726</c:v>
                </c:pt>
                <c:pt idx="17">
                  <c:v>749</c:v>
                </c:pt>
                <c:pt idx="18">
                  <c:v>18528</c:v>
                </c:pt>
                <c:pt idx="19">
                  <c:v>14424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F-4DD9-BA1B-188B2055D5E0}"/>
            </c:ext>
          </c:extLst>
        </c:ser>
        <c:ser>
          <c:idx val="1"/>
          <c:order val="1"/>
          <c:tx>
            <c:strRef>
              <c:f>SEP!$D$3</c:f>
              <c:strCache>
                <c:ptCount val="1"/>
                <c:pt idx="0">
                  <c:v>Mh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SEP!$B$4:$B$23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SEP!$D$4:$D$23</c:f>
              <c:numCache>
                <c:formatCode>General</c:formatCode>
                <c:ptCount val="20"/>
                <c:pt idx="0">
                  <c:v>494</c:v>
                </c:pt>
                <c:pt idx="1">
                  <c:v>8760</c:v>
                </c:pt>
                <c:pt idx="2">
                  <c:v>1531</c:v>
                </c:pt>
                <c:pt idx="3">
                  <c:v>8214</c:v>
                </c:pt>
                <c:pt idx="4">
                  <c:v>2684</c:v>
                </c:pt>
                <c:pt idx="5">
                  <c:v>6779</c:v>
                </c:pt>
                <c:pt idx="6">
                  <c:v>4982</c:v>
                </c:pt>
                <c:pt idx="7">
                  <c:v>3590</c:v>
                </c:pt>
                <c:pt idx="8">
                  <c:v>1848</c:v>
                </c:pt>
                <c:pt idx="9">
                  <c:v>5016</c:v>
                </c:pt>
                <c:pt idx="10">
                  <c:v>2190</c:v>
                </c:pt>
                <c:pt idx="11">
                  <c:v>831</c:v>
                </c:pt>
                <c:pt idx="12">
                  <c:v>1477</c:v>
                </c:pt>
                <c:pt idx="13">
                  <c:v>5476</c:v>
                </c:pt>
                <c:pt idx="14">
                  <c:v>34991</c:v>
                </c:pt>
                <c:pt idx="15">
                  <c:v>202</c:v>
                </c:pt>
                <c:pt idx="16">
                  <c:v>8537</c:v>
                </c:pt>
                <c:pt idx="17">
                  <c:v>5879</c:v>
                </c:pt>
                <c:pt idx="18">
                  <c:v>4269</c:v>
                </c:pt>
                <c:pt idx="19">
                  <c:v>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F-4DD9-BA1B-188B2055D5E0}"/>
            </c:ext>
          </c:extLst>
        </c:ser>
        <c:ser>
          <c:idx val="2"/>
          <c:order val="2"/>
          <c:tx>
            <c:strRef>
              <c:f>SEP!$E$3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SEP!$B$4:$B$23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SEP!$E$4:$E$23</c:f>
              <c:numCache>
                <c:formatCode>General</c:formatCode>
                <c:ptCount val="20"/>
                <c:pt idx="0">
                  <c:v>9</c:v>
                </c:pt>
                <c:pt idx="1">
                  <c:v>1032</c:v>
                </c:pt>
                <c:pt idx="2">
                  <c:v>326</c:v>
                </c:pt>
                <c:pt idx="3">
                  <c:v>741</c:v>
                </c:pt>
                <c:pt idx="4">
                  <c:v>924</c:v>
                </c:pt>
                <c:pt idx="5">
                  <c:v>1694</c:v>
                </c:pt>
                <c:pt idx="6">
                  <c:v>2072</c:v>
                </c:pt>
                <c:pt idx="7">
                  <c:v>2715</c:v>
                </c:pt>
                <c:pt idx="8">
                  <c:v>191</c:v>
                </c:pt>
                <c:pt idx="9">
                  <c:v>246</c:v>
                </c:pt>
                <c:pt idx="10">
                  <c:v>1509</c:v>
                </c:pt>
                <c:pt idx="11">
                  <c:v>80</c:v>
                </c:pt>
                <c:pt idx="12">
                  <c:v>60</c:v>
                </c:pt>
                <c:pt idx="13">
                  <c:v>762</c:v>
                </c:pt>
                <c:pt idx="14">
                  <c:v>3025</c:v>
                </c:pt>
                <c:pt idx="16">
                  <c:v>1476</c:v>
                </c:pt>
                <c:pt idx="17">
                  <c:v>563</c:v>
                </c:pt>
                <c:pt idx="18">
                  <c:v>2910</c:v>
                </c:pt>
                <c:pt idx="19">
                  <c:v>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F-4DD9-BA1B-188B2055D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303871"/>
        <c:axId val="613315519"/>
      </c:barChart>
      <c:catAx>
        <c:axId val="6133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15519"/>
        <c:crosses val="autoZero"/>
        <c:auto val="1"/>
        <c:lblAlgn val="ctr"/>
        <c:lblOffset val="100"/>
        <c:noMultiLvlLbl val="0"/>
      </c:catAx>
      <c:valAx>
        <c:axId val="613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30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71364005737547"/>
          <c:y val="0.90799861483443989"/>
          <c:w val="0.40987713592178887"/>
          <c:h val="6.7510291631346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D1F-4932-872F-E52656BE305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D1F-4932-872F-E52656BE305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D1F-4932-872F-E52656BE30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SEP!$C$32:$E$32</c:f>
              <c:strCache>
                <c:ptCount val="3"/>
                <c:pt idx="0">
                  <c:v>LED</c:v>
                </c:pt>
                <c:pt idx="1">
                  <c:v>Mh</c:v>
                </c:pt>
                <c:pt idx="2">
                  <c:v>Na</c:v>
                </c:pt>
              </c:strCache>
            </c:strRef>
          </c:cat>
          <c:val>
            <c:numRef>
              <c:f>SEP!$C$33:$E$33</c:f>
              <c:numCache>
                <c:formatCode>General</c:formatCode>
                <c:ptCount val="3"/>
                <c:pt idx="0">
                  <c:v>226391</c:v>
                </c:pt>
                <c:pt idx="1">
                  <c:v>111209</c:v>
                </c:pt>
                <c:pt idx="2">
                  <c:v>23220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1F-4932-872F-E52656BE305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86590</xdr:colOff>
      <xdr:row>0</xdr:row>
      <xdr:rowOff>83126</xdr:rowOff>
    </xdr:from>
    <xdr:to>
      <xdr:col>19</xdr:col>
      <xdr:colOff>602673</xdr:colOff>
      <xdr:row>20</xdr:row>
      <xdr:rowOff>145472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FFDAFB-FE44-4D7D-A7F0-DA8320887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65810</xdr:colOff>
      <xdr:row>21</xdr:row>
      <xdr:rowOff>103909</xdr:rowOff>
    </xdr:from>
    <xdr:to>
      <xdr:col>15</xdr:col>
      <xdr:colOff>689264</xdr:colOff>
      <xdr:row>37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1CA63D-1596-4F30-A65B-D450978FA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245917</xdr:colOff>
      <xdr:row>1</xdr:row>
      <xdr:rowOff>207817</xdr:rowOff>
    </xdr:from>
    <xdr:to>
      <xdr:col>18</xdr:col>
      <xdr:colOff>762000</xdr:colOff>
      <xdr:row>22</xdr:row>
      <xdr:rowOff>41562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974164-E1DF-4105-9090-3B9612634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24247</xdr:colOff>
      <xdr:row>23</xdr:row>
      <xdr:rowOff>96981</xdr:rowOff>
    </xdr:from>
    <xdr:to>
      <xdr:col>14</xdr:col>
      <xdr:colOff>647701</xdr:colOff>
      <xdr:row>39</xdr:row>
      <xdr:rowOff>55417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ADD62-5187-43CC-9840-599A2CF78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245917</xdr:colOff>
      <xdr:row>1</xdr:row>
      <xdr:rowOff>346362</xdr:rowOff>
    </xdr:from>
    <xdr:to>
      <xdr:col>18</xdr:col>
      <xdr:colOff>762000</xdr:colOff>
      <xdr:row>23</xdr:row>
      <xdr:rowOff>15585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DA7AA6-1A3C-4222-9401-ADC3531B4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24247</xdr:colOff>
      <xdr:row>23</xdr:row>
      <xdr:rowOff>96981</xdr:rowOff>
    </xdr:from>
    <xdr:to>
      <xdr:col>14</xdr:col>
      <xdr:colOff>647701</xdr:colOff>
      <xdr:row>39</xdr:row>
      <xdr:rowOff>55417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6C5455-A3FE-4AF1-9C46-84BA6D3B9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245917</xdr:colOff>
      <xdr:row>1</xdr:row>
      <xdr:rowOff>207817</xdr:rowOff>
    </xdr:from>
    <xdr:to>
      <xdr:col>18</xdr:col>
      <xdr:colOff>762000</xdr:colOff>
      <xdr:row>22</xdr:row>
      <xdr:rowOff>41562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341AF2-2976-44B7-B74A-B3BD74A78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24247</xdr:colOff>
      <xdr:row>23</xdr:row>
      <xdr:rowOff>96981</xdr:rowOff>
    </xdr:from>
    <xdr:to>
      <xdr:col>14</xdr:col>
      <xdr:colOff>647701</xdr:colOff>
      <xdr:row>39</xdr:row>
      <xdr:rowOff>55417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F611EB-9064-4E29-B229-7AF6FCAAD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245917</xdr:colOff>
      <xdr:row>1</xdr:row>
      <xdr:rowOff>207817</xdr:rowOff>
    </xdr:from>
    <xdr:to>
      <xdr:col>18</xdr:col>
      <xdr:colOff>762000</xdr:colOff>
      <xdr:row>22</xdr:row>
      <xdr:rowOff>41562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1C935A-200C-4D5E-BAA9-CDB204A20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24247</xdr:colOff>
      <xdr:row>23</xdr:row>
      <xdr:rowOff>96981</xdr:rowOff>
    </xdr:from>
    <xdr:to>
      <xdr:col>14</xdr:col>
      <xdr:colOff>647701</xdr:colOff>
      <xdr:row>39</xdr:row>
      <xdr:rowOff>55417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D089BA-D5D4-47FE-B2F2-B344C65E6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245917</xdr:colOff>
      <xdr:row>1</xdr:row>
      <xdr:rowOff>207817</xdr:rowOff>
    </xdr:from>
    <xdr:to>
      <xdr:col>18</xdr:col>
      <xdr:colOff>762000</xdr:colOff>
      <xdr:row>22</xdr:row>
      <xdr:rowOff>41562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D6C406-01D9-4765-9424-0FF52F69F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24247</xdr:colOff>
      <xdr:row>23</xdr:row>
      <xdr:rowOff>96981</xdr:rowOff>
    </xdr:from>
    <xdr:to>
      <xdr:col>14</xdr:col>
      <xdr:colOff>647701</xdr:colOff>
      <xdr:row>39</xdr:row>
      <xdr:rowOff>55417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CA9C7A-668C-4CD0-95B4-1D534486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36C8-E2FE-4C3F-B71B-F017EF20731D}">
  <dimension ref="B1:J35"/>
  <sheetViews>
    <sheetView showGridLines="0" zoomScale="110" zoomScaleNormal="110" workbookViewId="0">
      <selection activeCell="B2" sqref="B2"/>
    </sheetView>
  </sheetViews>
  <sheetFormatPr baseColWidth="10" defaultColWidth="11.5703125" defaultRowHeight="14.25" x14ac:dyDescent="0.2"/>
  <cols>
    <col min="1" max="1" width="1.140625" style="8" customWidth="1"/>
    <col min="2" max="2" width="14.85546875" style="8" customWidth="1"/>
    <col min="3" max="3" width="13.28515625" style="8" customWidth="1"/>
    <col min="4" max="4" width="11.5703125" style="8"/>
    <col min="5" max="5" width="15.42578125" style="8" customWidth="1"/>
    <col min="6" max="7" width="11.5703125" style="8"/>
    <col min="8" max="8" width="1.42578125" style="8" customWidth="1"/>
    <col min="9" max="9" width="7.42578125" style="8" customWidth="1"/>
    <col min="10" max="10" width="7" style="8" customWidth="1"/>
    <col min="11" max="16384" width="11.5703125" style="8"/>
  </cols>
  <sheetData>
    <row r="1" spans="2:10" ht="8.4499999999999993" customHeight="1" thickBot="1" x14ac:dyDescent="0.25"/>
    <row r="2" spans="2:10" ht="36.6" customHeight="1" x14ac:dyDescent="0.2">
      <c r="B2" s="54" t="s">
        <v>37</v>
      </c>
      <c r="C2" s="55" t="s">
        <v>4</v>
      </c>
      <c r="D2" s="55" t="s">
        <v>5</v>
      </c>
      <c r="E2" s="55" t="s">
        <v>6</v>
      </c>
      <c r="F2" s="55" t="s">
        <v>7</v>
      </c>
      <c r="G2" s="53"/>
      <c r="I2" s="70" t="s">
        <v>31</v>
      </c>
      <c r="J2" s="71"/>
    </row>
    <row r="3" spans="2:10" x14ac:dyDescent="0.2">
      <c r="B3" s="58" t="s">
        <v>3</v>
      </c>
      <c r="C3" s="5" t="s">
        <v>9</v>
      </c>
      <c r="D3" s="5" t="s">
        <v>0</v>
      </c>
      <c r="E3" s="5" t="s">
        <v>1</v>
      </c>
      <c r="F3" s="5" t="s">
        <v>2</v>
      </c>
      <c r="G3" s="59" t="s">
        <v>8</v>
      </c>
      <c r="I3" s="72"/>
      <c r="J3" s="73"/>
    </row>
    <row r="4" spans="2:10" ht="13.15" customHeight="1" x14ac:dyDescent="0.2">
      <c r="B4" s="2" t="s">
        <v>10</v>
      </c>
      <c r="C4" s="3"/>
      <c r="D4" s="7">
        <v>5204</v>
      </c>
      <c r="E4" s="7">
        <v>400</v>
      </c>
      <c r="F4" s="7">
        <v>71</v>
      </c>
      <c r="G4" s="4">
        <f>SUM(C4:F4)</f>
        <v>5675</v>
      </c>
      <c r="I4" s="74">
        <f>D4/$G4</f>
        <v>0.91700440528634364</v>
      </c>
      <c r="J4" s="75"/>
    </row>
    <row r="5" spans="2:10" ht="13.15" customHeight="1" x14ac:dyDescent="0.2">
      <c r="B5" s="1" t="s">
        <v>11</v>
      </c>
      <c r="C5" s="7"/>
      <c r="D5" s="7">
        <v>1874</v>
      </c>
      <c r="E5" s="7">
        <v>8767</v>
      </c>
      <c r="F5" s="7">
        <v>1172</v>
      </c>
      <c r="G5" s="4">
        <f t="shared" ref="G5:G23" si="0">SUM(C5:F5)</f>
        <v>11813</v>
      </c>
      <c r="I5" s="63">
        <f>D5/$G5</f>
        <v>0.15863878777617879</v>
      </c>
      <c r="J5" s="64"/>
    </row>
    <row r="6" spans="2:10" ht="13.15" customHeight="1" x14ac:dyDescent="0.2">
      <c r="B6" s="1" t="s">
        <v>12</v>
      </c>
      <c r="C6" s="7"/>
      <c r="D6" s="7">
        <v>18832</v>
      </c>
      <c r="E6" s="7">
        <v>1392</v>
      </c>
      <c r="F6" s="7">
        <v>1958</v>
      </c>
      <c r="G6" s="4">
        <f t="shared" si="0"/>
        <v>22182</v>
      </c>
      <c r="I6" s="63">
        <f>D6/$G6</f>
        <v>0.84897664773239567</v>
      </c>
      <c r="J6" s="64"/>
    </row>
    <row r="7" spans="2:10" ht="13.15" customHeight="1" x14ac:dyDescent="0.2">
      <c r="B7" s="1" t="s">
        <v>13</v>
      </c>
      <c r="C7" s="6"/>
      <c r="D7" s="7">
        <v>4066</v>
      </c>
      <c r="E7" s="7">
        <v>8177</v>
      </c>
      <c r="F7" s="7">
        <v>1230</v>
      </c>
      <c r="G7" s="4">
        <f t="shared" si="0"/>
        <v>13473</v>
      </c>
      <c r="I7" s="63">
        <f t="shared" ref="I7:I23" si="1">D7/$G7</f>
        <v>0.3017887627106064</v>
      </c>
      <c r="J7" s="64"/>
    </row>
    <row r="8" spans="2:10" ht="13.15" customHeight="1" x14ac:dyDescent="0.2">
      <c r="B8" s="1" t="s">
        <v>14</v>
      </c>
      <c r="C8" s="6"/>
      <c r="D8" s="7">
        <v>21149</v>
      </c>
      <c r="E8" s="7">
        <v>2402</v>
      </c>
      <c r="F8" s="7">
        <v>3868</v>
      </c>
      <c r="G8" s="4">
        <f t="shared" si="0"/>
        <v>27419</v>
      </c>
      <c r="I8" s="63">
        <f t="shared" si="1"/>
        <v>0.771326452459973</v>
      </c>
      <c r="J8" s="64"/>
    </row>
    <row r="9" spans="2:10" ht="13.15" customHeight="1" x14ac:dyDescent="0.2">
      <c r="B9" s="1" t="s">
        <v>15</v>
      </c>
      <c r="C9" s="6"/>
      <c r="D9" s="7">
        <v>24598</v>
      </c>
      <c r="E9" s="7">
        <v>7207</v>
      </c>
      <c r="F9" s="7">
        <v>4348</v>
      </c>
      <c r="G9" s="4">
        <f t="shared" si="0"/>
        <v>36153</v>
      </c>
      <c r="I9" s="63">
        <f t="shared" si="1"/>
        <v>0.68038613669681636</v>
      </c>
      <c r="J9" s="64"/>
    </row>
    <row r="10" spans="2:10" ht="13.15" customHeight="1" x14ac:dyDescent="0.2">
      <c r="B10" s="1" t="s">
        <v>16</v>
      </c>
      <c r="C10" s="6"/>
      <c r="D10" s="7">
        <v>9523</v>
      </c>
      <c r="E10" s="7">
        <v>4820</v>
      </c>
      <c r="F10" s="7">
        <v>3488</v>
      </c>
      <c r="G10" s="4">
        <f t="shared" si="0"/>
        <v>17831</v>
      </c>
      <c r="I10" s="63">
        <f t="shared" si="1"/>
        <v>0.53406987830183383</v>
      </c>
      <c r="J10" s="64"/>
    </row>
    <row r="11" spans="2:10" ht="13.15" customHeight="1" x14ac:dyDescent="0.2">
      <c r="B11" s="1" t="s">
        <v>17</v>
      </c>
      <c r="C11" s="6"/>
      <c r="D11" s="7">
        <v>32310</v>
      </c>
      <c r="E11" s="7">
        <v>3159</v>
      </c>
      <c r="F11" s="7">
        <v>4697</v>
      </c>
      <c r="G11" s="4">
        <f t="shared" si="0"/>
        <v>40166</v>
      </c>
      <c r="I11" s="63">
        <f t="shared" si="1"/>
        <v>0.80441169148035652</v>
      </c>
      <c r="J11" s="64"/>
    </row>
    <row r="12" spans="2:10" ht="13.15" customHeight="1" x14ac:dyDescent="0.2">
      <c r="B12" s="1" t="s">
        <v>18</v>
      </c>
      <c r="C12" s="6"/>
      <c r="D12" s="7">
        <v>476</v>
      </c>
      <c r="E12" s="7">
        <v>1715</v>
      </c>
      <c r="F12" s="7">
        <v>800</v>
      </c>
      <c r="G12" s="4">
        <f t="shared" si="0"/>
        <v>2991</v>
      </c>
      <c r="I12" s="63">
        <f t="shared" si="1"/>
        <v>0.15914409896355733</v>
      </c>
      <c r="J12" s="64"/>
    </row>
    <row r="13" spans="2:10" ht="13.15" customHeight="1" x14ac:dyDescent="0.2">
      <c r="B13" s="1" t="s">
        <v>19</v>
      </c>
      <c r="C13" s="6"/>
      <c r="D13" s="7">
        <v>1602</v>
      </c>
      <c r="E13" s="7">
        <v>4886</v>
      </c>
      <c r="F13" s="7">
        <v>795</v>
      </c>
      <c r="G13" s="4">
        <f t="shared" si="0"/>
        <v>7283</v>
      </c>
      <c r="I13" s="63">
        <f t="shared" si="1"/>
        <v>0.21996430042564877</v>
      </c>
      <c r="J13" s="64"/>
    </row>
    <row r="14" spans="2:10" ht="13.15" customHeight="1" x14ac:dyDescent="0.2">
      <c r="B14" s="1" t="s">
        <v>20</v>
      </c>
      <c r="C14" s="6"/>
      <c r="D14" s="7">
        <v>14058</v>
      </c>
      <c r="E14" s="7">
        <v>1917</v>
      </c>
      <c r="F14" s="7">
        <v>3032</v>
      </c>
      <c r="G14" s="4">
        <f t="shared" si="0"/>
        <v>19007</v>
      </c>
      <c r="I14" s="63">
        <f t="shared" si="1"/>
        <v>0.73962224443626035</v>
      </c>
      <c r="J14" s="64"/>
    </row>
    <row r="15" spans="2:10" ht="13.15" customHeight="1" x14ac:dyDescent="0.2">
      <c r="B15" s="1" t="s">
        <v>21</v>
      </c>
      <c r="C15" s="6"/>
      <c r="D15" s="7">
        <v>15111</v>
      </c>
      <c r="E15" s="7">
        <v>800</v>
      </c>
      <c r="F15" s="7">
        <v>587</v>
      </c>
      <c r="G15" s="4">
        <f t="shared" si="0"/>
        <v>16498</v>
      </c>
      <c r="I15" s="63">
        <f t="shared" si="1"/>
        <v>0.91592920353982299</v>
      </c>
      <c r="J15" s="64"/>
    </row>
    <row r="16" spans="2:10" ht="13.15" customHeight="1" x14ac:dyDescent="0.2">
      <c r="B16" s="1" t="s">
        <v>22</v>
      </c>
      <c r="C16" s="7"/>
      <c r="D16" s="7">
        <v>14840</v>
      </c>
      <c r="E16" s="7">
        <v>1446</v>
      </c>
      <c r="F16" s="7">
        <v>1795</v>
      </c>
      <c r="G16" s="4">
        <f t="shared" si="0"/>
        <v>18081</v>
      </c>
      <c r="I16" s="63">
        <f t="shared" si="1"/>
        <v>0.82075106465350367</v>
      </c>
      <c r="J16" s="64"/>
    </row>
    <row r="17" spans="2:10" ht="13.15" customHeight="1" x14ac:dyDescent="0.2">
      <c r="B17" s="1" t="s">
        <v>23</v>
      </c>
      <c r="C17" s="7">
        <v>18</v>
      </c>
      <c r="D17" s="7">
        <v>2478</v>
      </c>
      <c r="E17" s="7">
        <v>4798</v>
      </c>
      <c r="F17" s="7">
        <v>2079</v>
      </c>
      <c r="G17" s="4">
        <f t="shared" si="0"/>
        <v>9373</v>
      </c>
      <c r="I17" s="63">
        <f t="shared" si="1"/>
        <v>0.26437640029873039</v>
      </c>
      <c r="J17" s="64"/>
    </row>
    <row r="18" spans="2:10" ht="13.15" customHeight="1" x14ac:dyDescent="0.2">
      <c r="B18" s="1" t="s">
        <v>24</v>
      </c>
      <c r="C18" s="7"/>
      <c r="D18" s="7">
        <v>2911</v>
      </c>
      <c r="E18" s="7">
        <v>33615</v>
      </c>
      <c r="F18" s="7">
        <v>6187</v>
      </c>
      <c r="G18" s="4">
        <f t="shared" si="0"/>
        <v>42713</v>
      </c>
      <c r="I18" s="63">
        <f t="shared" si="1"/>
        <v>6.8152553086882214E-2</v>
      </c>
      <c r="J18" s="64"/>
    </row>
    <row r="19" spans="2:10" ht="13.15" customHeight="1" x14ac:dyDescent="0.2">
      <c r="B19" s="1" t="s">
        <v>25</v>
      </c>
      <c r="C19" s="7"/>
      <c r="D19" s="7">
        <v>62</v>
      </c>
      <c r="E19" s="7">
        <v>189</v>
      </c>
      <c r="F19" s="7">
        <v>17</v>
      </c>
      <c r="G19" s="4">
        <f t="shared" si="0"/>
        <v>268</v>
      </c>
      <c r="I19" s="63">
        <f t="shared" si="1"/>
        <v>0.23134328358208955</v>
      </c>
      <c r="J19" s="64"/>
    </row>
    <row r="20" spans="2:10" ht="13.15" customHeight="1" x14ac:dyDescent="0.2">
      <c r="B20" s="1" t="s">
        <v>26</v>
      </c>
      <c r="C20" s="7"/>
      <c r="D20" s="7">
        <v>3698</v>
      </c>
      <c r="E20" s="7">
        <v>8316</v>
      </c>
      <c r="F20" s="7">
        <v>2456</v>
      </c>
      <c r="G20" s="4">
        <f t="shared" si="0"/>
        <v>14470</v>
      </c>
      <c r="I20" s="63">
        <f t="shared" si="1"/>
        <v>0.25556323427781619</v>
      </c>
      <c r="J20" s="64"/>
    </row>
    <row r="21" spans="2:10" ht="13.15" customHeight="1" x14ac:dyDescent="0.2">
      <c r="B21" s="1" t="s">
        <v>27</v>
      </c>
      <c r="C21" s="7"/>
      <c r="D21" s="7">
        <v>602</v>
      </c>
      <c r="E21" s="7">
        <v>5755</v>
      </c>
      <c r="F21" s="7">
        <v>758</v>
      </c>
      <c r="G21" s="4">
        <f t="shared" si="0"/>
        <v>7115</v>
      </c>
      <c r="I21" s="63">
        <f t="shared" si="1"/>
        <v>8.4609978917779341E-2</v>
      </c>
      <c r="J21" s="64"/>
    </row>
    <row r="22" spans="2:10" ht="13.15" customHeight="1" x14ac:dyDescent="0.2">
      <c r="B22" s="1" t="s">
        <v>28</v>
      </c>
      <c r="C22" s="7"/>
      <c r="D22" s="7">
        <v>15902</v>
      </c>
      <c r="E22" s="7">
        <v>4219</v>
      </c>
      <c r="F22" s="7">
        <v>5668</v>
      </c>
      <c r="G22" s="4">
        <f t="shared" si="0"/>
        <v>25789</v>
      </c>
      <c r="I22" s="63">
        <f t="shared" si="1"/>
        <v>0.61661948892938845</v>
      </c>
      <c r="J22" s="64"/>
    </row>
    <row r="23" spans="2:10" ht="13.15" customHeight="1" thickBot="1" x14ac:dyDescent="0.25">
      <c r="B23" s="47" t="s">
        <v>29</v>
      </c>
      <c r="C23" s="48"/>
      <c r="D23" s="48">
        <v>13445</v>
      </c>
      <c r="E23" s="48">
        <v>1480</v>
      </c>
      <c r="F23" s="48">
        <v>2332</v>
      </c>
      <c r="G23" s="49">
        <f t="shared" si="0"/>
        <v>17257</v>
      </c>
      <c r="I23" s="65">
        <f t="shared" si="1"/>
        <v>0.77910413165671899</v>
      </c>
      <c r="J23" s="66"/>
    </row>
    <row r="24" spans="2:10" ht="13.15" customHeight="1" thickBot="1" x14ac:dyDescent="0.25">
      <c r="B24" s="28"/>
      <c r="C24" s="29"/>
      <c r="D24" s="29"/>
      <c r="E24" s="29"/>
      <c r="F24" s="29"/>
      <c r="G24" s="29"/>
      <c r="I24" s="30"/>
      <c r="J24" s="30"/>
    </row>
    <row r="25" spans="2:10" ht="13.15" customHeight="1" x14ac:dyDescent="0.2">
      <c r="B25" s="41" t="s">
        <v>35</v>
      </c>
      <c r="C25" s="39" t="s">
        <v>9</v>
      </c>
      <c r="D25" s="23" t="s">
        <v>0</v>
      </c>
      <c r="E25" s="23" t="s">
        <v>1</v>
      </c>
      <c r="F25" s="24" t="s">
        <v>2</v>
      </c>
      <c r="G25" s="33" t="s">
        <v>32</v>
      </c>
      <c r="I25" s="27"/>
      <c r="J25" s="27"/>
    </row>
    <row r="26" spans="2:10" ht="15" thickBot="1" x14ac:dyDescent="0.25">
      <c r="B26" s="36" t="s">
        <v>33</v>
      </c>
      <c r="C26" s="40">
        <v>18</v>
      </c>
      <c r="D26" s="25">
        <f>SUM(D4:D23)</f>
        <v>202741</v>
      </c>
      <c r="E26" s="9">
        <f>SUM(E4:E23)</f>
        <v>105460</v>
      </c>
      <c r="F26" s="37">
        <f>SUM(F4:F23)</f>
        <v>47338</v>
      </c>
      <c r="G26" s="50">
        <f>SUM(G4:G23)</f>
        <v>355557</v>
      </c>
      <c r="I26" s="57">
        <f>$G$26/$G$33</f>
        <v>0.98423538139581235</v>
      </c>
    </row>
    <row r="27" spans="2:10" ht="13.9" customHeight="1" thickBot="1" x14ac:dyDescent="0.25">
      <c r="B27" s="42" t="s">
        <v>30</v>
      </c>
      <c r="C27" s="15">
        <f>C$26/$G$26</f>
        <v>5.0624794336773009E-5</v>
      </c>
      <c r="D27" s="13">
        <f t="shared" ref="D27:F27" si="2">D$26/$G$26</f>
        <v>0.57020674603509425</v>
      </c>
      <c r="E27" s="26">
        <f t="shared" si="2"/>
        <v>0.29660504504200452</v>
      </c>
      <c r="F27" s="38">
        <f t="shared" si="2"/>
        <v>0.13313758412856447</v>
      </c>
      <c r="G27" s="35"/>
    </row>
    <row r="28" spans="2:10" ht="14.45" customHeight="1" thickBot="1" x14ac:dyDescent="0.25"/>
    <row r="29" spans="2:10" ht="14.45" customHeight="1" x14ac:dyDescent="0.2">
      <c r="B29" s="67" t="s">
        <v>36</v>
      </c>
      <c r="C29" s="14" t="s">
        <v>9</v>
      </c>
      <c r="D29" s="10" t="s">
        <v>0</v>
      </c>
      <c r="E29" s="10" t="s">
        <v>1</v>
      </c>
      <c r="F29" s="56" t="s">
        <v>2</v>
      </c>
      <c r="G29" s="43" t="s">
        <v>32</v>
      </c>
    </row>
    <row r="30" spans="2:10" ht="13.9" customHeight="1" thickBot="1" x14ac:dyDescent="0.25">
      <c r="B30" s="68"/>
      <c r="C30" s="52">
        <v>0</v>
      </c>
      <c r="D30" s="44">
        <v>2216</v>
      </c>
      <c r="E30" s="45">
        <v>1659</v>
      </c>
      <c r="F30" s="46">
        <v>1820</v>
      </c>
      <c r="G30" s="51">
        <f>SUM(C30:F30)</f>
        <v>5695</v>
      </c>
      <c r="I30" s="57">
        <f>$G$30/$G$33</f>
        <v>1.5764618604187659E-2</v>
      </c>
    </row>
    <row r="31" spans="2:10" ht="15" thickBot="1" x14ac:dyDescent="0.25"/>
    <row r="32" spans="2:10" x14ac:dyDescent="0.2">
      <c r="B32" s="16" t="s">
        <v>34</v>
      </c>
      <c r="C32" s="22" t="s">
        <v>9</v>
      </c>
      <c r="D32" s="23" t="s">
        <v>0</v>
      </c>
      <c r="E32" s="23" t="s">
        <v>1</v>
      </c>
      <c r="F32" s="31" t="s">
        <v>2</v>
      </c>
      <c r="G32" s="33" t="s">
        <v>32</v>
      </c>
    </row>
    <row r="33" spans="2:10" ht="13.9" customHeight="1" thickBot="1" x14ac:dyDescent="0.25">
      <c r="B33" s="17" t="s">
        <v>33</v>
      </c>
      <c r="C33" s="19">
        <v>18</v>
      </c>
      <c r="D33" s="20">
        <f>$D$26+$D$30</f>
        <v>204957</v>
      </c>
      <c r="E33" s="21">
        <f>$E$26+$E$30</f>
        <v>107119</v>
      </c>
      <c r="F33" s="32">
        <f>$F$26+$F$30</f>
        <v>49158</v>
      </c>
      <c r="G33" s="34">
        <f>SUM(C33:F33)</f>
        <v>361252</v>
      </c>
    </row>
    <row r="34" spans="2:10" ht="13.9" customHeight="1" thickBot="1" x14ac:dyDescent="0.25">
      <c r="B34" s="18" t="s">
        <v>30</v>
      </c>
      <c r="C34" s="15">
        <f>C$26/($G$26-$G$30)</f>
        <v>5.1448856977894138E-5</v>
      </c>
      <c r="D34" s="13">
        <f>($D$26+$D$30)/($G$26+$G$30)</f>
        <v>0.56735187625258821</v>
      </c>
      <c r="E34" s="11">
        <f>($E$26+$E$30)/($G$26+$G$30)</f>
        <v>0.29652154174924983</v>
      </c>
      <c r="F34" s="12">
        <f>($F$26+$F$30)/($G$26+$G$30)</f>
        <v>0.1360767552843998</v>
      </c>
    </row>
    <row r="35" spans="2:10" ht="14.45" customHeight="1" x14ac:dyDescent="0.2">
      <c r="B35" s="76" t="s">
        <v>38</v>
      </c>
      <c r="C35" s="76"/>
      <c r="D35" s="76"/>
      <c r="E35" s="76"/>
      <c r="F35" s="76"/>
      <c r="G35" s="76"/>
      <c r="H35" s="76"/>
      <c r="I35" s="76"/>
      <c r="J35" s="76"/>
    </row>
  </sheetData>
  <mergeCells count="23">
    <mergeCell ref="I21:J21"/>
    <mergeCell ref="I22:J22"/>
    <mergeCell ref="I23:J23"/>
    <mergeCell ref="B29:B30"/>
    <mergeCell ref="B35:J3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I2:J3"/>
    <mergeCell ref="I4:J4"/>
    <mergeCell ref="I5:J5"/>
    <mergeCell ref="I6:J6"/>
    <mergeCell ref="I7:J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55A1-E484-43B5-A532-48E49547881A}">
  <dimension ref="B1:N35"/>
  <sheetViews>
    <sheetView showGridLines="0" zoomScale="110" zoomScaleNormal="110" workbookViewId="0">
      <selection activeCell="C45" sqref="C45"/>
    </sheetView>
  </sheetViews>
  <sheetFormatPr baseColWidth="10" defaultColWidth="11.5703125" defaultRowHeight="14.25" x14ac:dyDescent="0.2"/>
  <cols>
    <col min="1" max="1" width="1.140625" style="8" customWidth="1"/>
    <col min="2" max="2" width="14.85546875" style="8" customWidth="1"/>
    <col min="3" max="3" width="11.5703125" style="8"/>
    <col min="4" max="4" width="15.42578125" style="8" customWidth="1"/>
    <col min="5" max="6" width="11.5703125" style="8"/>
    <col min="7" max="7" width="1.42578125" style="8" customWidth="1"/>
    <col min="8" max="8" width="7.42578125" style="8" customWidth="1"/>
    <col min="9" max="9" width="7" style="8" customWidth="1"/>
    <col min="10" max="16384" width="11.5703125" style="8"/>
  </cols>
  <sheetData>
    <row r="1" spans="2:14" ht="8.4499999999999993" customHeight="1" thickBot="1" x14ac:dyDescent="0.25"/>
    <row r="2" spans="2:14" ht="36.6" customHeight="1" x14ac:dyDescent="0.2">
      <c r="B2" s="54" t="s">
        <v>37</v>
      </c>
      <c r="C2" s="55" t="s">
        <v>5</v>
      </c>
      <c r="D2" s="55" t="s">
        <v>6</v>
      </c>
      <c r="E2" s="55" t="s">
        <v>7</v>
      </c>
      <c r="F2" s="53"/>
      <c r="H2" s="70" t="s">
        <v>31</v>
      </c>
      <c r="I2" s="71"/>
    </row>
    <row r="3" spans="2:14" x14ac:dyDescent="0.2">
      <c r="B3" s="58" t="s">
        <v>3</v>
      </c>
      <c r="C3" s="5" t="s">
        <v>0</v>
      </c>
      <c r="D3" s="5" t="s">
        <v>1</v>
      </c>
      <c r="E3" s="5" t="s">
        <v>2</v>
      </c>
      <c r="F3" s="59" t="s">
        <v>8</v>
      </c>
      <c r="H3" s="72"/>
      <c r="I3" s="73"/>
    </row>
    <row r="4" spans="2:14" ht="13.15" customHeight="1" x14ac:dyDescent="0.25">
      <c r="B4" s="2" t="s">
        <v>10</v>
      </c>
      <c r="C4" s="7">
        <v>5228</v>
      </c>
      <c r="D4" s="7">
        <v>445</v>
      </c>
      <c r="E4" s="7">
        <v>9</v>
      </c>
      <c r="F4" s="4">
        <f t="shared" ref="F4:F23" si="0">SUM(C4:E4)</f>
        <v>5682</v>
      </c>
      <c r="H4" s="74">
        <f>C4/$F4</f>
        <v>0.92009855684618091</v>
      </c>
      <c r="I4" s="75"/>
      <c r="K4" s="60"/>
      <c r="L4"/>
      <c r="M4"/>
      <c r="N4"/>
    </row>
    <row r="5" spans="2:14" ht="13.15" customHeight="1" x14ac:dyDescent="0.25">
      <c r="B5" s="1" t="s">
        <v>11</v>
      </c>
      <c r="C5" s="7">
        <v>2042</v>
      </c>
      <c r="D5" s="7">
        <v>8773</v>
      </c>
      <c r="E5" s="7">
        <v>1001</v>
      </c>
      <c r="F5" s="4">
        <f t="shared" si="0"/>
        <v>11816</v>
      </c>
      <c r="H5" s="63">
        <f>C5/$F5</f>
        <v>0.17281651997291808</v>
      </c>
      <c r="I5" s="64"/>
      <c r="K5" s="60"/>
      <c r="L5"/>
      <c r="M5"/>
      <c r="N5"/>
    </row>
    <row r="6" spans="2:14" ht="13.15" customHeight="1" x14ac:dyDescent="0.25">
      <c r="B6" s="1" t="s">
        <v>12</v>
      </c>
      <c r="C6" s="7">
        <v>20592</v>
      </c>
      <c r="D6" s="7">
        <v>1287</v>
      </c>
      <c r="E6" s="7">
        <v>299</v>
      </c>
      <c r="F6" s="4">
        <f t="shared" si="0"/>
        <v>22178</v>
      </c>
      <c r="H6" s="63">
        <f>C6/$F6</f>
        <v>0.92848769050410318</v>
      </c>
      <c r="I6" s="64"/>
      <c r="K6" s="60"/>
      <c r="L6"/>
      <c r="M6"/>
      <c r="N6"/>
    </row>
    <row r="7" spans="2:14" ht="13.15" customHeight="1" x14ac:dyDescent="0.25">
      <c r="B7" s="1" t="s">
        <v>13</v>
      </c>
      <c r="C7" s="7">
        <v>4523</v>
      </c>
      <c r="D7" s="7">
        <v>8223</v>
      </c>
      <c r="E7" s="7">
        <v>739</v>
      </c>
      <c r="F7" s="4">
        <f t="shared" si="0"/>
        <v>13485</v>
      </c>
      <c r="H7" s="63">
        <f t="shared" ref="H7:H23" si="1">C7/$F7</f>
        <v>0.33540971449758994</v>
      </c>
      <c r="I7" s="64"/>
      <c r="K7" s="60"/>
      <c r="L7"/>
      <c r="M7"/>
      <c r="N7"/>
    </row>
    <row r="8" spans="2:14" ht="13.15" customHeight="1" x14ac:dyDescent="0.25">
      <c r="B8" s="1" t="s">
        <v>14</v>
      </c>
      <c r="C8" s="7">
        <v>23686</v>
      </c>
      <c r="D8" s="7">
        <v>3099</v>
      </c>
      <c r="E8" s="7">
        <v>710</v>
      </c>
      <c r="F8" s="4">
        <f t="shared" si="0"/>
        <v>27495</v>
      </c>
      <c r="H8" s="63">
        <f t="shared" si="1"/>
        <v>0.86146572104018915</v>
      </c>
      <c r="I8" s="64"/>
      <c r="K8" s="60"/>
      <c r="L8"/>
      <c r="M8"/>
      <c r="N8"/>
    </row>
    <row r="9" spans="2:14" ht="13.15" customHeight="1" x14ac:dyDescent="0.25">
      <c r="B9" s="1" t="s">
        <v>15</v>
      </c>
      <c r="C9" s="7">
        <v>27517</v>
      </c>
      <c r="D9" s="7">
        <v>6798</v>
      </c>
      <c r="E9" s="7">
        <v>1676</v>
      </c>
      <c r="F9" s="4">
        <f t="shared" si="0"/>
        <v>35991</v>
      </c>
      <c r="H9" s="63">
        <f t="shared" si="1"/>
        <v>0.76455224917340447</v>
      </c>
      <c r="I9" s="64"/>
      <c r="K9" s="60"/>
      <c r="L9"/>
      <c r="M9"/>
      <c r="N9"/>
    </row>
    <row r="10" spans="2:14" ht="13.15" customHeight="1" x14ac:dyDescent="0.25">
      <c r="B10" s="1" t="s">
        <v>16</v>
      </c>
      <c r="C10" s="7">
        <v>10714</v>
      </c>
      <c r="D10" s="7">
        <v>5005</v>
      </c>
      <c r="E10" s="7">
        <v>2038</v>
      </c>
      <c r="F10" s="4">
        <f t="shared" si="0"/>
        <v>17757</v>
      </c>
      <c r="H10" s="63">
        <f t="shared" si="1"/>
        <v>0.60336768598299262</v>
      </c>
      <c r="I10" s="64"/>
      <c r="K10" s="60"/>
      <c r="L10"/>
      <c r="M10"/>
      <c r="N10"/>
    </row>
    <row r="11" spans="2:14" ht="13.15" customHeight="1" x14ac:dyDescent="0.25">
      <c r="B11" s="1" t="s">
        <v>17</v>
      </c>
      <c r="C11" s="7">
        <v>33617</v>
      </c>
      <c r="D11" s="7">
        <v>3831</v>
      </c>
      <c r="E11" s="7">
        <v>2700</v>
      </c>
      <c r="F11" s="4">
        <f t="shared" si="0"/>
        <v>40148</v>
      </c>
      <c r="H11" s="63">
        <f t="shared" si="1"/>
        <v>0.83732689050513098</v>
      </c>
      <c r="I11" s="64"/>
      <c r="K11" s="60"/>
      <c r="L11"/>
      <c r="M11"/>
      <c r="N11"/>
    </row>
    <row r="12" spans="2:14" ht="13.15" customHeight="1" x14ac:dyDescent="0.25">
      <c r="B12" s="1" t="s">
        <v>18</v>
      </c>
      <c r="C12" s="7">
        <v>476</v>
      </c>
      <c r="D12" s="7">
        <v>2322</v>
      </c>
      <c r="E12" s="7">
        <v>191</v>
      </c>
      <c r="F12" s="4">
        <f t="shared" si="0"/>
        <v>2989</v>
      </c>
      <c r="H12" s="63">
        <f t="shared" si="1"/>
        <v>0.15925058548009369</v>
      </c>
      <c r="I12" s="64"/>
      <c r="K12" s="60"/>
      <c r="L12"/>
      <c r="M12"/>
      <c r="N12"/>
    </row>
    <row r="13" spans="2:14" ht="13.15" customHeight="1" x14ac:dyDescent="0.25">
      <c r="B13" s="1" t="s">
        <v>19</v>
      </c>
      <c r="C13" s="7">
        <v>2024</v>
      </c>
      <c r="D13" s="7">
        <v>4977</v>
      </c>
      <c r="E13" s="7">
        <v>245</v>
      </c>
      <c r="F13" s="4">
        <f t="shared" si="0"/>
        <v>7246</v>
      </c>
      <c r="H13" s="63">
        <f t="shared" si="1"/>
        <v>0.27932652497929894</v>
      </c>
      <c r="I13" s="64"/>
      <c r="K13" s="60"/>
      <c r="L13"/>
      <c r="M13"/>
      <c r="N13"/>
    </row>
    <row r="14" spans="2:14" ht="13.15" customHeight="1" x14ac:dyDescent="0.25">
      <c r="B14" s="1" t="s">
        <v>20</v>
      </c>
      <c r="C14" s="7">
        <v>15304</v>
      </c>
      <c r="D14" s="7">
        <v>2216</v>
      </c>
      <c r="E14" s="7">
        <v>1487</v>
      </c>
      <c r="F14" s="4">
        <f t="shared" si="0"/>
        <v>19007</v>
      </c>
      <c r="H14" s="63">
        <f t="shared" si="1"/>
        <v>0.80517704003788082</v>
      </c>
      <c r="I14" s="64"/>
      <c r="K14" s="60"/>
      <c r="L14"/>
      <c r="M14"/>
      <c r="N14"/>
    </row>
    <row r="15" spans="2:14" ht="13.15" customHeight="1" x14ac:dyDescent="0.25">
      <c r="B15" s="1" t="s">
        <v>21</v>
      </c>
      <c r="C15" s="7">
        <v>15587</v>
      </c>
      <c r="D15" s="7">
        <v>850</v>
      </c>
      <c r="E15" s="7">
        <v>80</v>
      </c>
      <c r="F15" s="4">
        <f t="shared" si="0"/>
        <v>16517</v>
      </c>
      <c r="H15" s="63">
        <f t="shared" si="1"/>
        <v>0.94369437549191737</v>
      </c>
      <c r="I15" s="64"/>
      <c r="K15" s="60"/>
      <c r="L15"/>
      <c r="M15"/>
      <c r="N15"/>
    </row>
    <row r="16" spans="2:14" ht="13.15" customHeight="1" x14ac:dyDescent="0.25">
      <c r="B16" s="1" t="s">
        <v>22</v>
      </c>
      <c r="C16" s="7">
        <v>16918</v>
      </c>
      <c r="D16" s="7">
        <v>1123</v>
      </c>
      <c r="E16" s="7">
        <v>56</v>
      </c>
      <c r="F16" s="4">
        <f t="shared" si="0"/>
        <v>18097</v>
      </c>
      <c r="H16" s="63">
        <f t="shared" si="1"/>
        <v>0.93485108028955077</v>
      </c>
      <c r="I16" s="64"/>
      <c r="K16" s="60"/>
      <c r="L16"/>
      <c r="M16"/>
      <c r="N16"/>
    </row>
    <row r="17" spans="2:14" ht="13.15" customHeight="1" x14ac:dyDescent="0.25">
      <c r="B17" s="1" t="s">
        <v>23</v>
      </c>
      <c r="C17" s="7">
        <v>2563</v>
      </c>
      <c r="D17" s="7">
        <v>5839</v>
      </c>
      <c r="E17" s="7">
        <v>960</v>
      </c>
      <c r="F17" s="4">
        <f t="shared" si="0"/>
        <v>9362</v>
      </c>
      <c r="H17" s="63">
        <f t="shared" si="1"/>
        <v>0.2737662892544328</v>
      </c>
      <c r="I17" s="64"/>
      <c r="K17" s="60"/>
      <c r="L17"/>
      <c r="M17"/>
      <c r="N17"/>
    </row>
    <row r="18" spans="2:14" ht="13.15" customHeight="1" x14ac:dyDescent="0.25">
      <c r="B18" s="1" t="s">
        <v>24</v>
      </c>
      <c r="C18" s="7">
        <v>4369</v>
      </c>
      <c r="D18" s="7">
        <v>35321</v>
      </c>
      <c r="E18" s="7">
        <v>2681</v>
      </c>
      <c r="F18" s="4">
        <f t="shared" si="0"/>
        <v>42371</v>
      </c>
      <c r="H18" s="63">
        <f t="shared" si="1"/>
        <v>0.1031129782162328</v>
      </c>
      <c r="I18" s="64"/>
      <c r="K18" s="60"/>
      <c r="L18"/>
      <c r="M18"/>
      <c r="N18"/>
    </row>
    <row r="19" spans="2:14" ht="13.15" customHeight="1" x14ac:dyDescent="0.25">
      <c r="B19" s="1" t="s">
        <v>25</v>
      </c>
      <c r="C19" s="7">
        <v>86</v>
      </c>
      <c r="D19" s="7">
        <v>206</v>
      </c>
      <c r="E19" s="7"/>
      <c r="F19" s="4">
        <f t="shared" si="0"/>
        <v>292</v>
      </c>
      <c r="H19" s="63">
        <f t="shared" si="1"/>
        <v>0.29452054794520549</v>
      </c>
      <c r="I19" s="64"/>
      <c r="K19" s="60"/>
      <c r="L19"/>
      <c r="M19"/>
      <c r="N19"/>
    </row>
    <row r="20" spans="2:14" ht="13.15" customHeight="1" x14ac:dyDescent="0.25">
      <c r="B20" s="1" t="s">
        <v>26</v>
      </c>
      <c r="C20" s="7">
        <v>4855</v>
      </c>
      <c r="D20" s="7">
        <v>8194</v>
      </c>
      <c r="E20" s="7">
        <v>1412</v>
      </c>
      <c r="F20" s="4">
        <f t="shared" si="0"/>
        <v>14461</v>
      </c>
      <c r="H20" s="63">
        <f t="shared" si="1"/>
        <v>0.33573058571329784</v>
      </c>
      <c r="I20" s="64"/>
      <c r="K20" s="60"/>
      <c r="L20"/>
      <c r="M20"/>
      <c r="N20"/>
    </row>
    <row r="21" spans="2:14" ht="13.15" customHeight="1" x14ac:dyDescent="0.25">
      <c r="B21" s="1" t="s">
        <v>27</v>
      </c>
      <c r="C21" s="7">
        <v>746</v>
      </c>
      <c r="D21" s="7">
        <v>5811</v>
      </c>
      <c r="E21" s="7">
        <v>566</v>
      </c>
      <c r="F21" s="4">
        <f t="shared" si="0"/>
        <v>7123</v>
      </c>
      <c r="H21" s="63">
        <f t="shared" si="1"/>
        <v>0.10473115260423979</v>
      </c>
      <c r="I21" s="64"/>
      <c r="K21" s="60"/>
      <c r="L21"/>
      <c r="M21"/>
      <c r="N21"/>
    </row>
    <row r="22" spans="2:14" ht="13.15" customHeight="1" x14ac:dyDescent="0.25">
      <c r="B22" s="1" t="s">
        <v>28</v>
      </c>
      <c r="C22" s="7">
        <v>18667</v>
      </c>
      <c r="D22" s="7">
        <v>4280</v>
      </c>
      <c r="E22" s="7">
        <v>2825</v>
      </c>
      <c r="F22" s="4">
        <f t="shared" si="0"/>
        <v>25772</v>
      </c>
      <c r="H22" s="63">
        <f t="shared" si="1"/>
        <v>0.72431320813285738</v>
      </c>
      <c r="I22" s="64"/>
      <c r="K22" s="60"/>
      <c r="L22"/>
      <c r="M22"/>
      <c r="N22"/>
    </row>
    <row r="23" spans="2:14" ht="13.15" customHeight="1" thickBot="1" x14ac:dyDescent="0.3">
      <c r="B23" s="47" t="s">
        <v>29</v>
      </c>
      <c r="C23" s="48">
        <v>14345</v>
      </c>
      <c r="D23" s="48">
        <v>1847</v>
      </c>
      <c r="E23" s="48">
        <v>1063</v>
      </c>
      <c r="F23" s="49">
        <f t="shared" si="0"/>
        <v>17255</v>
      </c>
      <c r="H23" s="65">
        <f t="shared" si="1"/>
        <v>0.83135323094755142</v>
      </c>
      <c r="I23" s="66"/>
      <c r="K23" s="60"/>
      <c r="L23"/>
      <c r="M23"/>
      <c r="N23"/>
    </row>
    <row r="24" spans="2:14" ht="13.15" customHeight="1" thickBot="1" x14ac:dyDescent="0.25">
      <c r="B24" s="28"/>
      <c r="C24" s="29"/>
      <c r="D24" s="29"/>
      <c r="E24" s="29"/>
      <c r="F24" s="29"/>
      <c r="H24" s="30"/>
      <c r="I24" s="30"/>
    </row>
    <row r="25" spans="2:14" ht="13.15" customHeight="1" x14ac:dyDescent="0.2">
      <c r="B25" s="41" t="s">
        <v>35</v>
      </c>
      <c r="C25" s="23" t="s">
        <v>0</v>
      </c>
      <c r="D25" s="23" t="s">
        <v>1</v>
      </c>
      <c r="E25" s="24" t="s">
        <v>2</v>
      </c>
      <c r="F25" s="33" t="s">
        <v>32</v>
      </c>
      <c r="H25" s="27"/>
      <c r="I25" s="27"/>
    </row>
    <row r="26" spans="2:14" ht="15" thickBot="1" x14ac:dyDescent="0.25">
      <c r="B26" s="36" t="s">
        <v>33</v>
      </c>
      <c r="C26" s="25">
        <f>SUM(C4:C23)</f>
        <v>223859</v>
      </c>
      <c r="D26" s="9">
        <f>SUM(D4:D23)</f>
        <v>110447</v>
      </c>
      <c r="E26" s="37">
        <f>SUM(E4:E23)</f>
        <v>20738</v>
      </c>
      <c r="F26" s="50">
        <f>SUM(F4:F23)</f>
        <v>355044</v>
      </c>
      <c r="H26" s="57">
        <f>$F$26/$F$33</f>
        <v>0.98408202069365025</v>
      </c>
    </row>
    <row r="27" spans="2:14" ht="13.9" customHeight="1" thickBot="1" x14ac:dyDescent="0.25">
      <c r="B27" s="42" t="s">
        <v>30</v>
      </c>
      <c r="C27" s="13">
        <f t="shared" ref="C27:E27" si="2">C$26/$F$26</f>
        <v>0.63051058460359843</v>
      </c>
      <c r="D27" s="26">
        <f t="shared" si="2"/>
        <v>0.31107975349534145</v>
      </c>
      <c r="E27" s="38">
        <f t="shared" si="2"/>
        <v>5.8409661901060152E-2</v>
      </c>
      <c r="F27" s="35"/>
    </row>
    <row r="28" spans="2:14" ht="14.45" customHeight="1" thickBot="1" x14ac:dyDescent="0.25"/>
    <row r="29" spans="2:14" ht="14.45" customHeight="1" x14ac:dyDescent="0.2">
      <c r="B29" s="67" t="s">
        <v>36</v>
      </c>
      <c r="C29" s="10" t="s">
        <v>0</v>
      </c>
      <c r="D29" s="10" t="s">
        <v>1</v>
      </c>
      <c r="E29" s="56" t="s">
        <v>2</v>
      </c>
      <c r="F29" s="43" t="s">
        <v>32</v>
      </c>
    </row>
    <row r="30" spans="2:14" ht="13.9" customHeight="1" thickBot="1" x14ac:dyDescent="0.25">
      <c r="B30" s="68"/>
      <c r="C30" s="44">
        <v>2264</v>
      </c>
      <c r="D30" s="45">
        <v>1659</v>
      </c>
      <c r="E30" s="46">
        <v>1820</v>
      </c>
      <c r="F30" s="51">
        <f>SUM(C30:E30)</f>
        <v>5743</v>
      </c>
      <c r="H30" s="57">
        <f>$F$30/$F$33</f>
        <v>1.5917979306349729E-2</v>
      </c>
    </row>
    <row r="31" spans="2:14" ht="15" thickBot="1" x14ac:dyDescent="0.25"/>
    <row r="32" spans="2:14" x14ac:dyDescent="0.2">
      <c r="B32" s="16" t="s">
        <v>34</v>
      </c>
      <c r="C32" s="23" t="s">
        <v>0</v>
      </c>
      <c r="D32" s="23" t="s">
        <v>1</v>
      </c>
      <c r="E32" s="31" t="s">
        <v>2</v>
      </c>
      <c r="F32" s="33" t="s">
        <v>32</v>
      </c>
    </row>
    <row r="33" spans="2:9" ht="13.9" customHeight="1" thickBot="1" x14ac:dyDescent="0.25">
      <c r="B33" s="17" t="s">
        <v>33</v>
      </c>
      <c r="C33" s="20">
        <f>$C$26+$C$30</f>
        <v>226123</v>
      </c>
      <c r="D33" s="21">
        <f>$D$26+$D$30</f>
        <v>112106</v>
      </c>
      <c r="E33" s="32">
        <f>$E$26+$E$30</f>
        <v>22558</v>
      </c>
      <c r="F33" s="34">
        <f>SUM(C33:E33)</f>
        <v>360787</v>
      </c>
    </row>
    <row r="34" spans="2:9" ht="13.9" customHeight="1" thickBot="1" x14ac:dyDescent="0.25">
      <c r="B34" s="18" t="s">
        <v>30</v>
      </c>
      <c r="C34" s="13">
        <f>($C$26+$C$30)/($F$26+$F$30)</f>
        <v>0.62674930083401015</v>
      </c>
      <c r="D34" s="11">
        <f>($D$26+$D$30)/($F$26+$F$30)</f>
        <v>0.31072627339676873</v>
      </c>
      <c r="E34" s="12">
        <f>($E$26+$E$30)/($F$26+$F$30)</f>
        <v>6.2524425769221181E-2</v>
      </c>
    </row>
    <row r="35" spans="2:9" ht="21.6" customHeight="1" x14ac:dyDescent="0.2">
      <c r="B35" s="69" t="s">
        <v>39</v>
      </c>
      <c r="C35" s="69"/>
      <c r="D35" s="69"/>
      <c r="E35" s="69"/>
      <c r="F35" s="69"/>
      <c r="G35" s="69"/>
      <c r="H35" s="69"/>
      <c r="I35" s="69"/>
    </row>
  </sheetData>
  <sortState xmlns:xlrd2="http://schemas.microsoft.com/office/spreadsheetml/2017/richdata2" ref="K4:N23">
    <sortCondition ref="K4:K23"/>
  </sortState>
  <mergeCells count="23">
    <mergeCell ref="H8:I8"/>
    <mergeCell ref="H2:I3"/>
    <mergeCell ref="H4:I4"/>
    <mergeCell ref="H5:I5"/>
    <mergeCell ref="H6:I6"/>
    <mergeCell ref="H7:I7"/>
    <mergeCell ref="H20:I20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1:I21"/>
    <mergeCell ref="H22:I22"/>
    <mergeCell ref="H23:I23"/>
    <mergeCell ref="B29:B30"/>
    <mergeCell ref="B35:I3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A789-E7D3-4D4B-B8BF-75AC9E01905A}">
  <dimension ref="B1:O35"/>
  <sheetViews>
    <sheetView showGridLines="0" zoomScale="110" zoomScaleNormal="110" workbookViewId="0">
      <selection activeCell="R27" sqref="R27"/>
    </sheetView>
  </sheetViews>
  <sheetFormatPr baseColWidth="10" defaultColWidth="11.5703125" defaultRowHeight="14.25" x14ac:dyDescent="0.2"/>
  <cols>
    <col min="1" max="1" width="1.140625" style="8" customWidth="1"/>
    <col min="2" max="2" width="14.85546875" style="8" customWidth="1"/>
    <col min="3" max="3" width="11.5703125" style="8"/>
    <col min="4" max="4" width="15.42578125" style="8" customWidth="1"/>
    <col min="5" max="6" width="11.5703125" style="8"/>
    <col min="7" max="7" width="1.42578125" style="8" customWidth="1"/>
    <col min="8" max="8" width="7.42578125" style="8" customWidth="1"/>
    <col min="9" max="9" width="7" style="8" customWidth="1"/>
    <col min="10" max="16384" width="11.5703125" style="8"/>
  </cols>
  <sheetData>
    <row r="1" spans="2:15" ht="8.4499999999999993" customHeight="1" thickBot="1" x14ac:dyDescent="0.25"/>
    <row r="2" spans="2:15" ht="36.6" customHeight="1" x14ac:dyDescent="0.2">
      <c r="B2" s="54" t="s">
        <v>37</v>
      </c>
      <c r="C2" s="55" t="s">
        <v>5</v>
      </c>
      <c r="D2" s="55" t="s">
        <v>6</v>
      </c>
      <c r="E2" s="55" t="s">
        <v>7</v>
      </c>
      <c r="F2" s="53"/>
      <c r="H2" s="70" t="s">
        <v>31</v>
      </c>
      <c r="I2" s="71"/>
    </row>
    <row r="3" spans="2:15" ht="15" x14ac:dyDescent="0.25">
      <c r="B3" s="58" t="s">
        <v>3</v>
      </c>
      <c r="C3" s="5" t="s">
        <v>0</v>
      </c>
      <c r="D3" s="5" t="s">
        <v>1</v>
      </c>
      <c r="E3" s="5" t="s">
        <v>2</v>
      </c>
      <c r="F3" s="59" t="s">
        <v>8</v>
      </c>
      <c r="H3" s="72"/>
      <c r="I3" s="73"/>
      <c r="K3" s="61"/>
      <c r="L3" s="61"/>
      <c r="M3" s="61"/>
      <c r="N3" s="61"/>
      <c r="O3" s="61"/>
    </row>
    <row r="4" spans="2:15" ht="13.15" customHeight="1" x14ac:dyDescent="0.25">
      <c r="B4" s="2" t="s">
        <v>10</v>
      </c>
      <c r="C4" s="7">
        <v>5236</v>
      </c>
      <c r="D4" s="7">
        <v>496</v>
      </c>
      <c r="E4" s="7">
        <v>9</v>
      </c>
      <c r="F4" s="4">
        <f t="shared" ref="F4:F23" si="0">SUM(C4:E4)</f>
        <v>5741</v>
      </c>
      <c r="H4" s="74">
        <f>C4/$F4</f>
        <v>0.91203623062184291</v>
      </c>
      <c r="I4" s="75"/>
      <c r="K4" s="60"/>
      <c r="L4"/>
      <c r="M4"/>
      <c r="N4"/>
      <c r="O4"/>
    </row>
    <row r="5" spans="2:15" ht="13.15" customHeight="1" x14ac:dyDescent="0.25">
      <c r="B5" s="1" t="s">
        <v>11</v>
      </c>
      <c r="C5" s="7">
        <v>2104</v>
      </c>
      <c r="D5" s="7">
        <v>8761</v>
      </c>
      <c r="E5" s="7">
        <v>1028</v>
      </c>
      <c r="F5" s="4">
        <f t="shared" si="0"/>
        <v>11893</v>
      </c>
      <c r="H5" s="63">
        <f>C5/$F5</f>
        <v>0.17691078785840411</v>
      </c>
      <c r="I5" s="64"/>
      <c r="K5" s="60"/>
      <c r="L5"/>
      <c r="M5"/>
      <c r="N5"/>
      <c r="O5"/>
    </row>
    <row r="6" spans="2:15" ht="13.15" customHeight="1" x14ac:dyDescent="0.25">
      <c r="B6" s="1" t="s">
        <v>12</v>
      </c>
      <c r="C6" s="7">
        <v>20473</v>
      </c>
      <c r="D6" s="7">
        <v>1532</v>
      </c>
      <c r="E6" s="7">
        <v>329</v>
      </c>
      <c r="F6" s="4">
        <f t="shared" si="0"/>
        <v>22334</v>
      </c>
      <c r="H6" s="63">
        <f>C6/$F6</f>
        <v>0.91667412913047375</v>
      </c>
      <c r="I6" s="64"/>
      <c r="K6" s="60"/>
      <c r="L6"/>
      <c r="M6"/>
      <c r="N6"/>
      <c r="O6"/>
    </row>
    <row r="7" spans="2:15" ht="13.15" customHeight="1" x14ac:dyDescent="0.25">
      <c r="B7" s="1" t="s">
        <v>13</v>
      </c>
      <c r="C7" s="7">
        <v>4532</v>
      </c>
      <c r="D7" s="7">
        <v>8214</v>
      </c>
      <c r="E7" s="7">
        <v>741</v>
      </c>
      <c r="F7" s="4">
        <f t="shared" si="0"/>
        <v>13487</v>
      </c>
      <c r="H7" s="63">
        <f t="shared" ref="H7:H23" si="1">C7/$F7</f>
        <v>0.33602728553421812</v>
      </c>
      <c r="I7" s="64"/>
      <c r="K7" s="60"/>
      <c r="L7"/>
      <c r="M7"/>
      <c r="N7"/>
      <c r="O7"/>
    </row>
    <row r="8" spans="2:15" ht="13.15" customHeight="1" x14ac:dyDescent="0.25">
      <c r="B8" s="1" t="s">
        <v>14</v>
      </c>
      <c r="C8" s="7">
        <v>23707</v>
      </c>
      <c r="D8" s="7">
        <v>2671</v>
      </c>
      <c r="E8" s="7">
        <v>942</v>
      </c>
      <c r="F8" s="4">
        <f t="shared" si="0"/>
        <v>27320</v>
      </c>
      <c r="H8" s="63">
        <f t="shared" si="1"/>
        <v>0.86775256222547581</v>
      </c>
      <c r="I8" s="64"/>
      <c r="K8" s="60"/>
      <c r="L8"/>
      <c r="M8"/>
      <c r="N8"/>
      <c r="O8"/>
    </row>
    <row r="9" spans="2:15" ht="13.15" customHeight="1" x14ac:dyDescent="0.25">
      <c r="B9" s="1" t="s">
        <v>15</v>
      </c>
      <c r="C9" s="7">
        <v>27494</v>
      </c>
      <c r="D9" s="7">
        <v>6783</v>
      </c>
      <c r="E9" s="7">
        <v>1684</v>
      </c>
      <c r="F9" s="4">
        <f t="shared" si="0"/>
        <v>35961</v>
      </c>
      <c r="H9" s="63">
        <f t="shared" si="1"/>
        <v>0.76455048524790747</v>
      </c>
      <c r="I9" s="64"/>
      <c r="K9" s="60"/>
      <c r="L9"/>
      <c r="M9"/>
      <c r="N9"/>
      <c r="O9"/>
    </row>
    <row r="10" spans="2:15" ht="13.15" customHeight="1" x14ac:dyDescent="0.25">
      <c r="B10" s="1" t="s">
        <v>16</v>
      </c>
      <c r="C10" s="7">
        <v>10723</v>
      </c>
      <c r="D10" s="7">
        <v>4983</v>
      </c>
      <c r="E10" s="7">
        <v>2075</v>
      </c>
      <c r="F10" s="4">
        <f t="shared" si="0"/>
        <v>17781</v>
      </c>
      <c r="H10" s="63">
        <f t="shared" si="1"/>
        <v>0.60305944547550761</v>
      </c>
      <c r="I10" s="64"/>
      <c r="K10" s="60"/>
      <c r="L10"/>
      <c r="M10"/>
      <c r="N10"/>
      <c r="O10"/>
    </row>
    <row r="11" spans="2:15" ht="13.15" customHeight="1" x14ac:dyDescent="0.25">
      <c r="B11" s="1" t="s">
        <v>17</v>
      </c>
      <c r="C11" s="7">
        <v>33629</v>
      </c>
      <c r="D11" s="7">
        <v>3595</v>
      </c>
      <c r="E11" s="7">
        <v>2718</v>
      </c>
      <c r="F11" s="4">
        <f t="shared" si="0"/>
        <v>39942</v>
      </c>
      <c r="H11" s="63">
        <f t="shared" si="1"/>
        <v>0.84194582144108954</v>
      </c>
      <c r="I11" s="64"/>
      <c r="K11" s="60"/>
      <c r="L11"/>
      <c r="M11"/>
      <c r="N11"/>
      <c r="O11"/>
    </row>
    <row r="12" spans="2:15" ht="13.15" customHeight="1" x14ac:dyDescent="0.25">
      <c r="B12" s="1" t="s">
        <v>18</v>
      </c>
      <c r="C12" s="7">
        <v>476</v>
      </c>
      <c r="D12" s="7">
        <v>1848</v>
      </c>
      <c r="E12" s="7">
        <v>191</v>
      </c>
      <c r="F12" s="4">
        <f t="shared" si="0"/>
        <v>2515</v>
      </c>
      <c r="H12" s="63">
        <f t="shared" si="1"/>
        <v>0.18926441351888668</v>
      </c>
      <c r="I12" s="64"/>
      <c r="K12" s="60"/>
      <c r="L12"/>
      <c r="M12"/>
      <c r="N12"/>
      <c r="O12"/>
    </row>
    <row r="13" spans="2:15" ht="13.15" customHeight="1" x14ac:dyDescent="0.25">
      <c r="B13" s="1" t="s">
        <v>19</v>
      </c>
      <c r="C13" s="7">
        <v>2048</v>
      </c>
      <c r="D13" s="7">
        <v>5016</v>
      </c>
      <c r="E13" s="7">
        <v>246</v>
      </c>
      <c r="F13" s="4">
        <f t="shared" si="0"/>
        <v>7310</v>
      </c>
      <c r="H13" s="63">
        <f t="shared" si="1"/>
        <v>0.2801641586867305</v>
      </c>
      <c r="I13" s="64"/>
      <c r="K13" s="60"/>
      <c r="L13"/>
      <c r="M13"/>
      <c r="N13"/>
      <c r="O13"/>
    </row>
    <row r="14" spans="2:15" ht="13.15" customHeight="1" x14ac:dyDescent="0.25">
      <c r="B14" s="1" t="s">
        <v>20</v>
      </c>
      <c r="C14" s="7">
        <v>15328</v>
      </c>
      <c r="D14" s="7">
        <v>2191</v>
      </c>
      <c r="E14" s="7">
        <v>1515</v>
      </c>
      <c r="F14" s="4">
        <f t="shared" si="0"/>
        <v>19034</v>
      </c>
      <c r="H14" s="63">
        <f t="shared" si="1"/>
        <v>0.80529578648733846</v>
      </c>
      <c r="I14" s="64"/>
      <c r="K14" s="60"/>
      <c r="L14"/>
      <c r="M14"/>
      <c r="N14"/>
      <c r="O14"/>
    </row>
    <row r="15" spans="2:15" ht="13.15" customHeight="1" x14ac:dyDescent="0.25">
      <c r="B15" s="1" t="s">
        <v>21</v>
      </c>
      <c r="C15" s="7">
        <v>15602</v>
      </c>
      <c r="D15" s="7">
        <v>831</v>
      </c>
      <c r="E15" s="7">
        <v>80</v>
      </c>
      <c r="F15" s="4">
        <f t="shared" si="0"/>
        <v>16513</v>
      </c>
      <c r="H15" s="63">
        <f t="shared" si="1"/>
        <v>0.94483134500090837</v>
      </c>
      <c r="I15" s="64"/>
      <c r="K15" s="60"/>
      <c r="L15"/>
      <c r="M15"/>
      <c r="N15"/>
      <c r="O15"/>
    </row>
    <row r="16" spans="2:15" ht="13.15" customHeight="1" x14ac:dyDescent="0.25">
      <c r="B16" s="1" t="s">
        <v>22</v>
      </c>
      <c r="C16" s="7">
        <v>16897</v>
      </c>
      <c r="D16" s="7">
        <v>1478</v>
      </c>
      <c r="E16" s="7">
        <v>61</v>
      </c>
      <c r="F16" s="4">
        <f t="shared" si="0"/>
        <v>18436</v>
      </c>
      <c r="H16" s="63">
        <f t="shared" si="1"/>
        <v>0.91652202213061407</v>
      </c>
      <c r="I16" s="64"/>
      <c r="K16" s="60"/>
      <c r="L16"/>
      <c r="M16"/>
      <c r="N16"/>
      <c r="O16"/>
    </row>
    <row r="17" spans="2:15" ht="13.15" customHeight="1" x14ac:dyDescent="0.25">
      <c r="B17" s="1" t="s">
        <v>23</v>
      </c>
      <c r="C17" s="7">
        <v>2570</v>
      </c>
      <c r="D17" s="7">
        <v>5479</v>
      </c>
      <c r="E17" s="7">
        <v>764</v>
      </c>
      <c r="F17" s="4">
        <f t="shared" si="0"/>
        <v>8813</v>
      </c>
      <c r="H17" s="63">
        <f t="shared" si="1"/>
        <v>0.29161466016112558</v>
      </c>
      <c r="I17" s="64"/>
      <c r="K17" s="60"/>
      <c r="L17"/>
      <c r="M17"/>
      <c r="N17"/>
      <c r="O17"/>
    </row>
    <row r="18" spans="2:15" ht="13.15" customHeight="1" x14ac:dyDescent="0.25">
      <c r="B18" s="1" t="s">
        <v>24</v>
      </c>
      <c r="C18" s="7">
        <v>4365</v>
      </c>
      <c r="D18" s="7">
        <v>34989</v>
      </c>
      <c r="E18" s="7">
        <v>3032</v>
      </c>
      <c r="F18" s="4">
        <f t="shared" si="0"/>
        <v>42386</v>
      </c>
      <c r="H18" s="63">
        <f t="shared" si="1"/>
        <v>0.10298211673665833</v>
      </c>
      <c r="I18" s="64"/>
      <c r="K18" s="60"/>
      <c r="L18"/>
      <c r="M18"/>
      <c r="N18"/>
      <c r="O18"/>
    </row>
    <row r="19" spans="2:15" ht="13.15" customHeight="1" x14ac:dyDescent="0.25">
      <c r="B19" s="1" t="s">
        <v>25</v>
      </c>
      <c r="C19" s="7">
        <v>86</v>
      </c>
      <c r="D19" s="7">
        <v>202</v>
      </c>
      <c r="E19" s="7"/>
      <c r="F19" s="4">
        <f t="shared" si="0"/>
        <v>288</v>
      </c>
      <c r="H19" s="63">
        <f t="shared" si="1"/>
        <v>0.2986111111111111</v>
      </c>
      <c r="I19" s="64"/>
      <c r="K19" s="60"/>
      <c r="L19"/>
      <c r="M19"/>
      <c r="N19"/>
      <c r="O19"/>
    </row>
    <row r="20" spans="2:15" ht="13.15" customHeight="1" x14ac:dyDescent="0.25">
      <c r="B20" s="1" t="s">
        <v>26</v>
      </c>
      <c r="C20" s="7">
        <v>4706</v>
      </c>
      <c r="D20" s="7">
        <v>8541</v>
      </c>
      <c r="E20" s="7">
        <v>1482</v>
      </c>
      <c r="F20" s="4">
        <f t="shared" si="0"/>
        <v>14729</v>
      </c>
      <c r="H20" s="63">
        <f t="shared" si="1"/>
        <v>0.31950573698146512</v>
      </c>
      <c r="I20" s="64"/>
      <c r="K20" s="60"/>
      <c r="L20"/>
      <c r="M20"/>
      <c r="N20"/>
      <c r="O20"/>
    </row>
    <row r="21" spans="2:15" ht="13.15" customHeight="1" x14ac:dyDescent="0.25">
      <c r="B21" s="1" t="s">
        <v>27</v>
      </c>
      <c r="C21" s="7">
        <v>751</v>
      </c>
      <c r="D21" s="7">
        <v>5878</v>
      </c>
      <c r="E21" s="7">
        <v>566</v>
      </c>
      <c r="F21" s="4">
        <f t="shared" si="0"/>
        <v>7195</v>
      </c>
      <c r="H21" s="63">
        <f t="shared" si="1"/>
        <v>0.10437804030576789</v>
      </c>
      <c r="I21" s="64"/>
      <c r="K21" s="60"/>
      <c r="L21"/>
      <c r="M21"/>
      <c r="N21"/>
      <c r="O21"/>
    </row>
    <row r="22" spans="2:15" ht="13.15" customHeight="1" x14ac:dyDescent="0.25">
      <c r="B22" s="1" t="s">
        <v>28</v>
      </c>
      <c r="C22" s="7">
        <v>18490</v>
      </c>
      <c r="D22" s="7">
        <v>4263</v>
      </c>
      <c r="E22" s="7">
        <v>2916</v>
      </c>
      <c r="F22" s="4">
        <f t="shared" si="0"/>
        <v>25669</v>
      </c>
      <c r="H22" s="63">
        <f t="shared" si="1"/>
        <v>0.72032412637812149</v>
      </c>
      <c r="I22" s="64"/>
      <c r="K22" s="60"/>
      <c r="L22"/>
      <c r="M22"/>
      <c r="N22"/>
      <c r="O22"/>
    </row>
    <row r="23" spans="2:15" ht="13.15" customHeight="1" thickBot="1" x14ac:dyDescent="0.3">
      <c r="B23" s="47" t="s">
        <v>29</v>
      </c>
      <c r="C23" s="48">
        <v>14352</v>
      </c>
      <c r="D23" s="48">
        <v>1806</v>
      </c>
      <c r="E23" s="48">
        <v>1068</v>
      </c>
      <c r="F23" s="49">
        <f t="shared" si="0"/>
        <v>17226</v>
      </c>
      <c r="H23" s="65">
        <f t="shared" si="1"/>
        <v>0.8331591779867642</v>
      </c>
      <c r="I23" s="66"/>
      <c r="K23" s="60"/>
      <c r="L23"/>
      <c r="M23"/>
      <c r="N23"/>
      <c r="O23"/>
    </row>
    <row r="24" spans="2:15" ht="13.15" customHeight="1" thickBot="1" x14ac:dyDescent="0.3">
      <c r="B24" s="28"/>
      <c r="C24" s="29"/>
      <c r="D24" s="29"/>
      <c r="E24" s="29"/>
      <c r="F24" s="29"/>
      <c r="H24" s="30"/>
      <c r="I24" s="30"/>
      <c r="K24" s="62"/>
      <c r="L24" s="61"/>
      <c r="M24" s="61"/>
      <c r="N24" s="61"/>
      <c r="O24" s="61"/>
    </row>
    <row r="25" spans="2:15" ht="13.15" customHeight="1" x14ac:dyDescent="0.2">
      <c r="B25" s="41" t="s">
        <v>35</v>
      </c>
      <c r="C25" s="23" t="s">
        <v>0</v>
      </c>
      <c r="D25" s="23" t="s">
        <v>1</v>
      </c>
      <c r="E25" s="24" t="s">
        <v>2</v>
      </c>
      <c r="F25" s="33" t="s">
        <v>32</v>
      </c>
      <c r="H25" s="27"/>
      <c r="I25" s="27"/>
    </row>
    <row r="26" spans="2:15" ht="15" thickBot="1" x14ac:dyDescent="0.25">
      <c r="B26" s="36" t="s">
        <v>33</v>
      </c>
      <c r="C26" s="25">
        <f>SUM(C4:C23)</f>
        <v>223569</v>
      </c>
      <c r="D26" s="9">
        <f>SUM(D4:D23)</f>
        <v>109557</v>
      </c>
      <c r="E26" s="37">
        <f>SUM(E4:E23)</f>
        <v>21447</v>
      </c>
      <c r="F26" s="50">
        <f>SUM(F4:F23)</f>
        <v>354573</v>
      </c>
      <c r="H26" s="57">
        <f>$F$26/$F$33</f>
        <v>0.98406121293531235</v>
      </c>
    </row>
    <row r="27" spans="2:15" ht="13.9" customHeight="1" thickBot="1" x14ac:dyDescent="0.25">
      <c r="B27" s="42" t="s">
        <v>30</v>
      </c>
      <c r="C27" s="13">
        <f t="shared" ref="C27:E27" si="2">C$26/$F$26</f>
        <v>0.63053024341954966</v>
      </c>
      <c r="D27" s="26">
        <f t="shared" si="2"/>
        <v>0.30898291748102646</v>
      </c>
      <c r="E27" s="38">
        <f t="shared" si="2"/>
        <v>6.0486839099423817E-2</v>
      </c>
      <c r="F27" s="35"/>
    </row>
    <row r="28" spans="2:15" ht="14.45" customHeight="1" thickBot="1" x14ac:dyDescent="0.25"/>
    <row r="29" spans="2:15" ht="14.45" customHeight="1" x14ac:dyDescent="0.2">
      <c r="B29" s="67" t="s">
        <v>36</v>
      </c>
      <c r="C29" s="10" t="s">
        <v>0</v>
      </c>
      <c r="D29" s="10" t="s">
        <v>1</v>
      </c>
      <c r="E29" s="56" t="s">
        <v>2</v>
      </c>
      <c r="F29" s="43" t="s">
        <v>32</v>
      </c>
    </row>
    <row r="30" spans="2:15" ht="13.9" customHeight="1" thickBot="1" x14ac:dyDescent="0.25">
      <c r="B30" s="68"/>
      <c r="C30" s="44">
        <v>2264</v>
      </c>
      <c r="D30" s="45">
        <v>1659</v>
      </c>
      <c r="E30" s="46">
        <v>1820</v>
      </c>
      <c r="F30" s="51">
        <f>SUM(C30:E30)</f>
        <v>5743</v>
      </c>
      <c r="H30" s="57">
        <f>$F$30/$F$33</f>
        <v>1.5938787064687664E-2</v>
      </c>
    </row>
    <row r="31" spans="2:15" ht="15" thickBot="1" x14ac:dyDescent="0.25"/>
    <row r="32" spans="2:15" x14ac:dyDescent="0.2">
      <c r="B32" s="16" t="s">
        <v>34</v>
      </c>
      <c r="C32" s="23" t="s">
        <v>0</v>
      </c>
      <c r="D32" s="23" t="s">
        <v>1</v>
      </c>
      <c r="E32" s="31" t="s">
        <v>2</v>
      </c>
      <c r="F32" s="33" t="s">
        <v>32</v>
      </c>
    </row>
    <row r="33" spans="2:9" ht="13.9" customHeight="1" thickBot="1" x14ac:dyDescent="0.25">
      <c r="B33" s="17" t="s">
        <v>33</v>
      </c>
      <c r="C33" s="20">
        <f>$C$26+$C$30</f>
        <v>225833</v>
      </c>
      <c r="D33" s="21">
        <f>$D$26+$D$30</f>
        <v>111216</v>
      </c>
      <c r="E33" s="32">
        <f>$E$26+$E$30</f>
        <v>23267</v>
      </c>
      <c r="F33" s="34">
        <f>SUM(C33:E33)</f>
        <v>360316</v>
      </c>
    </row>
    <row r="34" spans="2:9" ht="13.9" customHeight="1" thickBot="1" x14ac:dyDescent="0.25">
      <c r="B34" s="18" t="s">
        <v>30</v>
      </c>
      <c r="C34" s="13">
        <f>($C$26+$C$30)/($F$26+$F$30)</f>
        <v>0.62676372961511562</v>
      </c>
      <c r="D34" s="11">
        <f>($D$26+$D$30)/($F$26+$F$30)</f>
        <v>0.30866239634098958</v>
      </c>
      <c r="E34" s="12">
        <f>($E$26+$E$30)/($F$26+$F$30)</f>
        <v>6.4573874043894808E-2</v>
      </c>
    </row>
    <row r="35" spans="2:9" ht="21.6" customHeight="1" x14ac:dyDescent="0.2">
      <c r="B35" s="69" t="s">
        <v>39</v>
      </c>
      <c r="C35" s="69"/>
      <c r="D35" s="69"/>
      <c r="E35" s="69"/>
      <c r="F35" s="69"/>
      <c r="G35" s="69"/>
      <c r="H35" s="69"/>
      <c r="I35" s="69"/>
    </row>
  </sheetData>
  <mergeCells count="23">
    <mergeCell ref="H8:I8"/>
    <mergeCell ref="H2:I3"/>
    <mergeCell ref="H4:I4"/>
    <mergeCell ref="H5:I5"/>
    <mergeCell ref="H6:I6"/>
    <mergeCell ref="H7:I7"/>
    <mergeCell ref="H20:I20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1:I21"/>
    <mergeCell ref="H22:I22"/>
    <mergeCell ref="H23:I23"/>
    <mergeCell ref="B29:B30"/>
    <mergeCell ref="B35:I3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FE08-BE91-416B-A82C-5EDD4F32F6A4}">
  <dimension ref="B1:N35"/>
  <sheetViews>
    <sheetView showGridLines="0" tabSelected="1" topLeftCell="A20" zoomScale="110" zoomScaleNormal="110" workbookViewId="0">
      <selection activeCell="T33" sqref="T33"/>
    </sheetView>
  </sheetViews>
  <sheetFormatPr baseColWidth="10" defaultColWidth="11.5703125" defaultRowHeight="14.25" x14ac:dyDescent="0.2"/>
  <cols>
    <col min="1" max="1" width="1.140625" style="8" customWidth="1"/>
    <col min="2" max="2" width="14.85546875" style="8" customWidth="1"/>
    <col min="3" max="3" width="11.5703125" style="8"/>
    <col min="4" max="4" width="15.42578125" style="8" customWidth="1"/>
    <col min="5" max="6" width="11.5703125" style="8"/>
    <col min="7" max="7" width="1.42578125" style="8" customWidth="1"/>
    <col min="8" max="8" width="7.42578125" style="8" customWidth="1"/>
    <col min="9" max="9" width="7" style="8" customWidth="1"/>
    <col min="10" max="16384" width="11.5703125" style="8"/>
  </cols>
  <sheetData>
    <row r="1" spans="2:14" ht="8.4499999999999993" customHeight="1" thickBot="1" x14ac:dyDescent="0.25"/>
    <row r="2" spans="2:14" ht="36.6" customHeight="1" x14ac:dyDescent="0.2">
      <c r="B2" s="54" t="s">
        <v>37</v>
      </c>
      <c r="C2" s="55" t="s">
        <v>5</v>
      </c>
      <c r="D2" s="55" t="s">
        <v>6</v>
      </c>
      <c r="E2" s="55" t="s">
        <v>7</v>
      </c>
      <c r="F2" s="53"/>
      <c r="H2" s="70" t="s">
        <v>31</v>
      </c>
      <c r="I2" s="71"/>
    </row>
    <row r="3" spans="2:14" x14ac:dyDescent="0.2">
      <c r="B3" s="58" t="s">
        <v>3</v>
      </c>
      <c r="C3" s="5" t="s">
        <v>0</v>
      </c>
      <c r="D3" s="5" t="s">
        <v>1</v>
      </c>
      <c r="E3" s="5" t="s">
        <v>2</v>
      </c>
      <c r="F3" s="59" t="s">
        <v>8</v>
      </c>
      <c r="H3" s="72"/>
      <c r="I3" s="73"/>
    </row>
    <row r="4" spans="2:14" ht="13.15" customHeight="1" x14ac:dyDescent="0.25">
      <c r="B4" s="2" t="s">
        <v>10</v>
      </c>
      <c r="C4" s="7">
        <v>5236</v>
      </c>
      <c r="D4" s="7">
        <v>496</v>
      </c>
      <c r="E4" s="7">
        <v>9</v>
      </c>
      <c r="F4" s="4">
        <f>SUM(C4:E4)</f>
        <v>5741</v>
      </c>
      <c r="H4" s="74">
        <f>C4/$F4</f>
        <v>0.91203623062184291</v>
      </c>
      <c r="I4" s="75"/>
      <c r="K4" s="60"/>
      <c r="L4"/>
      <c r="M4"/>
      <c r="N4"/>
    </row>
    <row r="5" spans="2:14" ht="13.15" customHeight="1" x14ac:dyDescent="0.25">
      <c r="B5" s="1" t="s">
        <v>11</v>
      </c>
      <c r="C5" s="7">
        <v>2104</v>
      </c>
      <c r="D5" s="7">
        <v>8761</v>
      </c>
      <c r="E5" s="7">
        <v>1028</v>
      </c>
      <c r="F5" s="4">
        <f t="shared" ref="F5:F23" si="0">SUM(C5:E5)</f>
        <v>11893</v>
      </c>
      <c r="H5" s="63">
        <f>C5/$F5</f>
        <v>0.17691078785840411</v>
      </c>
      <c r="I5" s="64"/>
      <c r="K5" s="60"/>
      <c r="L5"/>
      <c r="M5"/>
      <c r="N5"/>
    </row>
    <row r="6" spans="2:14" ht="13.15" customHeight="1" x14ac:dyDescent="0.25">
      <c r="B6" s="1" t="s">
        <v>12</v>
      </c>
      <c r="C6" s="7">
        <v>20481</v>
      </c>
      <c r="D6" s="7">
        <v>1532</v>
      </c>
      <c r="E6" s="7">
        <v>327</v>
      </c>
      <c r="F6" s="4">
        <f t="shared" si="0"/>
        <v>22340</v>
      </c>
      <c r="H6" s="63">
        <f>C6/$F6</f>
        <v>0.91678603401969561</v>
      </c>
      <c r="I6" s="64"/>
      <c r="K6" s="60"/>
      <c r="L6"/>
      <c r="M6"/>
      <c r="N6"/>
    </row>
    <row r="7" spans="2:14" ht="13.15" customHeight="1" x14ac:dyDescent="0.25">
      <c r="B7" s="1" t="s">
        <v>13</v>
      </c>
      <c r="C7" s="7">
        <v>4532</v>
      </c>
      <c r="D7" s="7">
        <v>8214</v>
      </c>
      <c r="E7" s="7">
        <v>741</v>
      </c>
      <c r="F7" s="4">
        <f t="shared" si="0"/>
        <v>13487</v>
      </c>
      <c r="H7" s="63">
        <f t="shared" ref="H7:H23" si="1">C7/$F7</f>
        <v>0.33602728553421812</v>
      </c>
      <c r="I7" s="64"/>
      <c r="K7" s="60"/>
      <c r="L7"/>
      <c r="M7"/>
      <c r="N7"/>
    </row>
    <row r="8" spans="2:14" ht="13.15" customHeight="1" x14ac:dyDescent="0.25">
      <c r="B8" s="1" t="s">
        <v>14</v>
      </c>
      <c r="C8" s="7">
        <v>23712</v>
      </c>
      <c r="D8" s="7">
        <v>2684</v>
      </c>
      <c r="E8" s="7">
        <v>925</v>
      </c>
      <c r="F8" s="4">
        <f t="shared" si="0"/>
        <v>27321</v>
      </c>
      <c r="H8" s="63">
        <f t="shared" si="1"/>
        <v>0.86790381025584717</v>
      </c>
      <c r="I8" s="64"/>
      <c r="K8" s="60"/>
      <c r="L8"/>
      <c r="M8"/>
      <c r="N8"/>
    </row>
    <row r="9" spans="2:14" ht="13.15" customHeight="1" x14ac:dyDescent="0.25">
      <c r="B9" s="1" t="s">
        <v>15</v>
      </c>
      <c r="C9" s="7">
        <v>27500</v>
      </c>
      <c r="D9" s="7">
        <v>6783</v>
      </c>
      <c r="E9" s="7">
        <v>1691</v>
      </c>
      <c r="F9" s="4">
        <f t="shared" si="0"/>
        <v>35974</v>
      </c>
      <c r="H9" s="63">
        <f t="shared" si="1"/>
        <v>0.76444098515594594</v>
      </c>
      <c r="I9" s="64"/>
      <c r="K9" s="60"/>
      <c r="L9"/>
      <c r="M9"/>
      <c r="N9"/>
    </row>
    <row r="10" spans="2:14" ht="13.15" customHeight="1" x14ac:dyDescent="0.25">
      <c r="B10" s="1" t="s">
        <v>16</v>
      </c>
      <c r="C10" s="7">
        <v>10727</v>
      </c>
      <c r="D10" s="7">
        <v>4983</v>
      </c>
      <c r="E10" s="7">
        <v>2075</v>
      </c>
      <c r="F10" s="4">
        <f t="shared" si="0"/>
        <v>17785</v>
      </c>
      <c r="H10" s="63">
        <f t="shared" si="1"/>
        <v>0.60314872083216198</v>
      </c>
      <c r="I10" s="64"/>
      <c r="K10" s="60"/>
      <c r="L10"/>
      <c r="M10"/>
      <c r="N10"/>
    </row>
    <row r="11" spans="2:14" ht="13.15" customHeight="1" x14ac:dyDescent="0.25">
      <c r="B11" s="1" t="s">
        <v>17</v>
      </c>
      <c r="C11" s="7">
        <v>33647</v>
      </c>
      <c r="D11" s="7">
        <v>3594</v>
      </c>
      <c r="E11" s="7">
        <v>2718</v>
      </c>
      <c r="F11" s="4">
        <f t="shared" si="0"/>
        <v>39959</v>
      </c>
      <c r="H11" s="63">
        <f t="shared" si="1"/>
        <v>0.84203808904126731</v>
      </c>
      <c r="I11" s="64"/>
      <c r="K11" s="60"/>
      <c r="L11"/>
      <c r="M11"/>
      <c r="N11"/>
    </row>
    <row r="12" spans="2:14" ht="13.15" customHeight="1" x14ac:dyDescent="0.25">
      <c r="B12" s="1" t="s">
        <v>18</v>
      </c>
      <c r="C12" s="7">
        <v>476</v>
      </c>
      <c r="D12" s="7">
        <v>1848</v>
      </c>
      <c r="E12" s="7">
        <v>191</v>
      </c>
      <c r="F12" s="4">
        <f t="shared" si="0"/>
        <v>2515</v>
      </c>
      <c r="H12" s="63">
        <f t="shared" si="1"/>
        <v>0.18926441351888668</v>
      </c>
      <c r="I12" s="64"/>
      <c r="K12" s="60"/>
      <c r="L12"/>
      <c r="M12"/>
      <c r="N12"/>
    </row>
    <row r="13" spans="2:14" ht="13.15" customHeight="1" x14ac:dyDescent="0.25">
      <c r="B13" s="1" t="s">
        <v>19</v>
      </c>
      <c r="C13" s="7">
        <v>2048</v>
      </c>
      <c r="D13" s="7">
        <v>5016</v>
      </c>
      <c r="E13" s="7">
        <v>246</v>
      </c>
      <c r="F13" s="4">
        <f t="shared" si="0"/>
        <v>7310</v>
      </c>
      <c r="H13" s="63">
        <f t="shared" si="1"/>
        <v>0.2801641586867305</v>
      </c>
      <c r="I13" s="64"/>
      <c r="K13" s="60"/>
      <c r="L13"/>
      <c r="M13"/>
      <c r="N13"/>
    </row>
    <row r="14" spans="2:14" ht="13.15" customHeight="1" x14ac:dyDescent="0.25">
      <c r="B14" s="1" t="s">
        <v>20</v>
      </c>
      <c r="C14" s="7">
        <v>15331</v>
      </c>
      <c r="D14" s="7">
        <v>2191</v>
      </c>
      <c r="E14" s="7">
        <v>1515</v>
      </c>
      <c r="F14" s="4">
        <f t="shared" si="0"/>
        <v>19037</v>
      </c>
      <c r="H14" s="63">
        <f t="shared" si="1"/>
        <v>0.80532646950675002</v>
      </c>
      <c r="I14" s="64"/>
      <c r="K14" s="60"/>
      <c r="L14"/>
      <c r="M14"/>
      <c r="N14"/>
    </row>
    <row r="15" spans="2:14" ht="13.15" customHeight="1" x14ac:dyDescent="0.25">
      <c r="B15" s="1" t="s">
        <v>21</v>
      </c>
      <c r="C15" s="7">
        <v>15603</v>
      </c>
      <c r="D15" s="7">
        <v>831</v>
      </c>
      <c r="E15" s="7">
        <v>80</v>
      </c>
      <c r="F15" s="4">
        <f t="shared" si="0"/>
        <v>16514</v>
      </c>
      <c r="H15" s="63">
        <f t="shared" si="1"/>
        <v>0.94483468572120621</v>
      </c>
      <c r="I15" s="64"/>
      <c r="K15" s="60"/>
      <c r="L15"/>
      <c r="M15"/>
      <c r="N15"/>
    </row>
    <row r="16" spans="2:14" ht="13.15" customHeight="1" x14ac:dyDescent="0.25">
      <c r="B16" s="1" t="s">
        <v>22</v>
      </c>
      <c r="C16" s="7">
        <v>16897</v>
      </c>
      <c r="D16" s="7">
        <v>1478</v>
      </c>
      <c r="E16" s="7">
        <v>60</v>
      </c>
      <c r="F16" s="4">
        <f t="shared" si="0"/>
        <v>18435</v>
      </c>
      <c r="H16" s="63">
        <f t="shared" si="1"/>
        <v>0.91657173854081908</v>
      </c>
      <c r="I16" s="64"/>
      <c r="K16" s="60"/>
      <c r="L16"/>
      <c r="M16"/>
      <c r="N16"/>
    </row>
    <row r="17" spans="2:14" ht="13.15" customHeight="1" x14ac:dyDescent="0.25">
      <c r="B17" s="1" t="s">
        <v>23</v>
      </c>
      <c r="C17" s="7">
        <v>2570</v>
      </c>
      <c r="D17" s="7">
        <v>5475</v>
      </c>
      <c r="E17" s="7">
        <v>762</v>
      </c>
      <c r="F17" s="4">
        <f t="shared" si="0"/>
        <v>8807</v>
      </c>
      <c r="H17" s="63">
        <f t="shared" si="1"/>
        <v>0.29181333030543888</v>
      </c>
      <c r="I17" s="64"/>
      <c r="K17" s="60"/>
      <c r="L17"/>
      <c r="M17"/>
      <c r="N17"/>
    </row>
    <row r="18" spans="2:14" ht="13.15" customHeight="1" x14ac:dyDescent="0.25">
      <c r="B18" s="1" t="s">
        <v>24</v>
      </c>
      <c r="C18" s="7">
        <v>4364</v>
      </c>
      <c r="D18" s="7">
        <v>34980</v>
      </c>
      <c r="E18" s="7">
        <v>3032</v>
      </c>
      <c r="F18" s="4">
        <f t="shared" si="0"/>
        <v>42376</v>
      </c>
      <c r="H18" s="63">
        <f t="shared" si="1"/>
        <v>0.10298282046441382</v>
      </c>
      <c r="I18" s="64"/>
      <c r="K18" s="60"/>
      <c r="L18"/>
      <c r="M18"/>
      <c r="N18"/>
    </row>
    <row r="19" spans="2:14" ht="13.15" customHeight="1" x14ac:dyDescent="0.25">
      <c r="B19" s="1" t="s">
        <v>25</v>
      </c>
      <c r="C19" s="7">
        <v>86</v>
      </c>
      <c r="D19" s="7">
        <v>202</v>
      </c>
      <c r="E19" s="7"/>
      <c r="F19" s="4">
        <f t="shared" si="0"/>
        <v>288</v>
      </c>
      <c r="H19" s="63">
        <f t="shared" si="1"/>
        <v>0.2986111111111111</v>
      </c>
      <c r="I19" s="64"/>
      <c r="K19" s="60"/>
      <c r="L19"/>
      <c r="M19"/>
      <c r="N19"/>
    </row>
    <row r="20" spans="2:14" ht="13.15" customHeight="1" x14ac:dyDescent="0.25">
      <c r="B20" s="1" t="s">
        <v>26</v>
      </c>
      <c r="C20" s="7">
        <v>4708</v>
      </c>
      <c r="D20" s="7">
        <v>8538</v>
      </c>
      <c r="E20" s="7">
        <v>1482</v>
      </c>
      <c r="F20" s="4">
        <f t="shared" si="0"/>
        <v>14728</v>
      </c>
      <c r="H20" s="63">
        <f t="shared" si="1"/>
        <v>0.31966322650733298</v>
      </c>
      <c r="I20" s="64"/>
      <c r="K20" s="60"/>
      <c r="L20"/>
      <c r="M20"/>
      <c r="N20"/>
    </row>
    <row r="21" spans="2:14" ht="13.15" customHeight="1" x14ac:dyDescent="0.25">
      <c r="B21" s="1" t="s">
        <v>27</v>
      </c>
      <c r="C21" s="7">
        <v>752</v>
      </c>
      <c r="D21" s="7">
        <v>5878</v>
      </c>
      <c r="E21" s="7">
        <v>566</v>
      </c>
      <c r="F21" s="4">
        <f t="shared" si="0"/>
        <v>7196</v>
      </c>
      <c r="H21" s="63">
        <f t="shared" si="1"/>
        <v>0.10450250138966093</v>
      </c>
      <c r="I21" s="64"/>
      <c r="K21" s="60"/>
      <c r="L21"/>
      <c r="M21"/>
      <c r="N21"/>
    </row>
    <row r="22" spans="2:14" ht="13.15" customHeight="1" x14ac:dyDescent="0.25">
      <c r="B22" s="1" t="s">
        <v>28</v>
      </c>
      <c r="C22" s="7">
        <v>18492</v>
      </c>
      <c r="D22" s="7">
        <v>4266</v>
      </c>
      <c r="E22" s="7">
        <v>2913</v>
      </c>
      <c r="F22" s="4">
        <f t="shared" si="0"/>
        <v>25671</v>
      </c>
      <c r="H22" s="63">
        <f t="shared" si="1"/>
        <v>0.72034591562463479</v>
      </c>
      <c r="I22" s="64"/>
      <c r="K22" s="60"/>
      <c r="L22"/>
      <c r="M22"/>
      <c r="N22"/>
    </row>
    <row r="23" spans="2:14" ht="13.15" customHeight="1" thickBot="1" x14ac:dyDescent="0.3">
      <c r="B23" s="47" t="s">
        <v>29</v>
      </c>
      <c r="C23" s="48">
        <v>14358</v>
      </c>
      <c r="D23" s="48">
        <v>1802</v>
      </c>
      <c r="E23" s="48">
        <v>1065</v>
      </c>
      <c r="F23" s="49">
        <f t="shared" si="0"/>
        <v>17225</v>
      </c>
      <c r="H23" s="65">
        <f t="shared" si="1"/>
        <v>0.83355587808417997</v>
      </c>
      <c r="I23" s="66"/>
      <c r="K23" s="60"/>
      <c r="L23"/>
      <c r="M23"/>
      <c r="N23"/>
    </row>
    <row r="24" spans="2:14" ht="13.15" customHeight="1" thickBot="1" x14ac:dyDescent="0.25">
      <c r="B24" s="28"/>
      <c r="C24" s="29"/>
      <c r="D24" s="29"/>
      <c r="E24" s="29"/>
      <c r="F24" s="29"/>
      <c r="H24" s="30"/>
      <c r="I24" s="30"/>
    </row>
    <row r="25" spans="2:14" ht="13.15" customHeight="1" x14ac:dyDescent="0.2">
      <c r="B25" s="41" t="s">
        <v>35</v>
      </c>
      <c r="C25" s="23" t="s">
        <v>0</v>
      </c>
      <c r="D25" s="23" t="s">
        <v>1</v>
      </c>
      <c r="E25" s="24" t="s">
        <v>2</v>
      </c>
      <c r="F25" s="33" t="s">
        <v>32</v>
      </c>
      <c r="H25" s="27"/>
      <c r="I25" s="27"/>
    </row>
    <row r="26" spans="2:14" ht="15" thickBot="1" x14ac:dyDescent="0.25">
      <c r="B26" s="36" t="s">
        <v>33</v>
      </c>
      <c r="C26" s="25">
        <f>SUM(C4:C23)</f>
        <v>223624</v>
      </c>
      <c r="D26" s="9">
        <f>SUM(D4:D23)</f>
        <v>109552</v>
      </c>
      <c r="E26" s="37">
        <f>SUM(E4:E23)</f>
        <v>21426</v>
      </c>
      <c r="F26" s="50">
        <f>SUM(F4:F23)</f>
        <v>354602</v>
      </c>
      <c r="H26" s="57">
        <f>$F$26/$F$33</f>
        <v>0.98396965416963811</v>
      </c>
    </row>
    <row r="27" spans="2:14" ht="13.9" customHeight="1" thickBot="1" x14ac:dyDescent="0.25">
      <c r="B27" s="42" t="s">
        <v>30</v>
      </c>
      <c r="C27" s="13">
        <f t="shared" ref="C27:E27" si="2">C$26/$F$26</f>
        <v>0.63063378097134248</v>
      </c>
      <c r="D27" s="26">
        <f t="shared" si="2"/>
        <v>0.30894354797773277</v>
      </c>
      <c r="E27" s="38">
        <f t="shared" si="2"/>
        <v>6.0422671050924699E-2</v>
      </c>
      <c r="F27" s="35"/>
    </row>
    <row r="28" spans="2:14" ht="14.45" customHeight="1" thickBot="1" x14ac:dyDescent="0.25"/>
    <row r="29" spans="2:14" ht="14.45" customHeight="1" x14ac:dyDescent="0.2">
      <c r="B29" s="67" t="s">
        <v>36</v>
      </c>
      <c r="C29" s="10" t="s">
        <v>0</v>
      </c>
      <c r="D29" s="10" t="s">
        <v>1</v>
      </c>
      <c r="E29" s="56" t="s">
        <v>2</v>
      </c>
      <c r="F29" s="43" t="s">
        <v>32</v>
      </c>
    </row>
    <row r="30" spans="2:14" ht="13.9" customHeight="1" thickBot="1" x14ac:dyDescent="0.25">
      <c r="B30" s="68"/>
      <c r="C30" s="44">
        <v>2291</v>
      </c>
      <c r="D30" s="45">
        <v>1666</v>
      </c>
      <c r="E30" s="46">
        <v>1820</v>
      </c>
      <c r="F30" s="51">
        <f>SUM(C30:E30)</f>
        <v>5777</v>
      </c>
      <c r="H30" s="57">
        <f>$F$30/$F$33</f>
        <v>1.6030345830361923E-2</v>
      </c>
    </row>
    <row r="31" spans="2:14" ht="15" thickBot="1" x14ac:dyDescent="0.25"/>
    <row r="32" spans="2:14" x14ac:dyDescent="0.2">
      <c r="B32" s="16" t="s">
        <v>34</v>
      </c>
      <c r="C32" s="23" t="s">
        <v>0</v>
      </c>
      <c r="D32" s="23" t="s">
        <v>1</v>
      </c>
      <c r="E32" s="31" t="s">
        <v>2</v>
      </c>
      <c r="F32" s="33" t="s">
        <v>32</v>
      </c>
    </row>
    <row r="33" spans="2:9" ht="13.9" customHeight="1" thickBot="1" x14ac:dyDescent="0.25">
      <c r="B33" s="17" t="s">
        <v>33</v>
      </c>
      <c r="C33" s="20">
        <f>$C$26+$C$30</f>
        <v>225915</v>
      </c>
      <c r="D33" s="21">
        <f>$D$26+$D$30</f>
        <v>111218</v>
      </c>
      <c r="E33" s="32">
        <f>$E$26+$E$30</f>
        <v>23246</v>
      </c>
      <c r="F33" s="34">
        <f>SUM(C33:E33)</f>
        <v>360379</v>
      </c>
    </row>
    <row r="34" spans="2:9" ht="13.9" customHeight="1" thickBot="1" x14ac:dyDescent="0.25">
      <c r="B34" s="18" t="s">
        <v>30</v>
      </c>
      <c r="C34" s="13">
        <f>($C$26+$C$30)/($F$26+$F$30)</f>
        <v>0.62688169954409112</v>
      </c>
      <c r="D34" s="11">
        <f>($D$26+$D$30)/($F$26+$F$30)</f>
        <v>0.30861398694152548</v>
      </c>
      <c r="E34" s="12">
        <f>($E$26+$E$30)/($F$26+$F$30)</f>
        <v>6.4504313514383474E-2</v>
      </c>
    </row>
    <row r="35" spans="2:9" ht="21.6" customHeight="1" x14ac:dyDescent="0.2">
      <c r="B35" s="69" t="s">
        <v>40</v>
      </c>
      <c r="C35" s="69"/>
      <c r="D35" s="69"/>
      <c r="E35" s="69"/>
      <c r="F35" s="69"/>
      <c r="G35" s="69"/>
      <c r="H35" s="69"/>
      <c r="I35" s="69"/>
    </row>
  </sheetData>
  <mergeCells count="23">
    <mergeCell ref="H21:I21"/>
    <mergeCell ref="H22:I22"/>
    <mergeCell ref="H23:I23"/>
    <mergeCell ref="B29:B30"/>
    <mergeCell ref="B35:I35"/>
    <mergeCell ref="H20:I20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8:I8"/>
    <mergeCell ref="H2:I3"/>
    <mergeCell ref="H4:I4"/>
    <mergeCell ref="H5:I5"/>
    <mergeCell ref="H6:I6"/>
    <mergeCell ref="H7:I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8939-3E73-4D17-B53A-534145C7D8E1}">
  <dimension ref="B1:N35"/>
  <sheetViews>
    <sheetView showGridLines="0" zoomScale="110" zoomScaleNormal="110" workbookViewId="0">
      <selection activeCell="C30" sqref="C30:E30"/>
    </sheetView>
  </sheetViews>
  <sheetFormatPr baseColWidth="10" defaultColWidth="11.5703125" defaultRowHeight="14.25" x14ac:dyDescent="0.2"/>
  <cols>
    <col min="1" max="1" width="1.140625" style="8" customWidth="1"/>
    <col min="2" max="2" width="14.85546875" style="8" customWidth="1"/>
    <col min="3" max="3" width="11.5703125" style="8"/>
    <col min="4" max="4" width="15.42578125" style="8" customWidth="1"/>
    <col min="5" max="6" width="11.5703125" style="8"/>
    <col min="7" max="7" width="1.42578125" style="8" customWidth="1"/>
    <col min="8" max="8" width="7.42578125" style="8" customWidth="1"/>
    <col min="9" max="9" width="7" style="8" customWidth="1"/>
    <col min="10" max="16384" width="11.5703125" style="8"/>
  </cols>
  <sheetData>
    <row r="1" spans="2:14" ht="8.4499999999999993" customHeight="1" thickBot="1" x14ac:dyDescent="0.25"/>
    <row r="2" spans="2:14" ht="36.6" customHeight="1" x14ac:dyDescent="0.2">
      <c r="B2" s="54" t="s">
        <v>37</v>
      </c>
      <c r="C2" s="55" t="s">
        <v>5</v>
      </c>
      <c r="D2" s="55" t="s">
        <v>6</v>
      </c>
      <c r="E2" s="55" t="s">
        <v>7</v>
      </c>
      <c r="F2" s="53"/>
      <c r="H2" s="70" t="s">
        <v>31</v>
      </c>
      <c r="I2" s="71"/>
    </row>
    <row r="3" spans="2:14" x14ac:dyDescent="0.2">
      <c r="B3" s="58" t="s">
        <v>3</v>
      </c>
      <c r="C3" s="5" t="s">
        <v>0</v>
      </c>
      <c r="D3" s="5" t="s">
        <v>1</v>
      </c>
      <c r="E3" s="5" t="s">
        <v>2</v>
      </c>
      <c r="F3" s="59" t="s">
        <v>8</v>
      </c>
      <c r="H3" s="72"/>
      <c r="I3" s="73"/>
    </row>
    <row r="4" spans="2:14" ht="13.15" customHeight="1" x14ac:dyDescent="0.25">
      <c r="B4" s="2" t="s">
        <v>10</v>
      </c>
      <c r="C4" s="7">
        <v>5241</v>
      </c>
      <c r="D4" s="7">
        <v>494</v>
      </c>
      <c r="E4" s="7">
        <v>9</v>
      </c>
      <c r="F4" s="4">
        <f>SUM(C4:E4)</f>
        <v>5744</v>
      </c>
      <c r="H4" s="74">
        <f>C4/$F4</f>
        <v>0.91243036211699169</v>
      </c>
      <c r="I4" s="75"/>
      <c r="K4" s="60"/>
      <c r="L4"/>
      <c r="M4"/>
      <c r="N4"/>
    </row>
    <row r="5" spans="2:14" ht="13.15" customHeight="1" x14ac:dyDescent="0.25">
      <c r="B5" s="1" t="s">
        <v>11</v>
      </c>
      <c r="C5" s="7">
        <v>2112</v>
      </c>
      <c r="D5" s="7">
        <v>8760</v>
      </c>
      <c r="E5" s="7">
        <v>1028</v>
      </c>
      <c r="F5" s="4">
        <f t="shared" ref="F5:F23" si="0">SUM(C5:E5)</f>
        <v>11900</v>
      </c>
      <c r="H5" s="63">
        <f>C5/$F5</f>
        <v>0.17747899159663866</v>
      </c>
      <c r="I5" s="64"/>
      <c r="K5" s="60"/>
      <c r="L5"/>
      <c r="M5"/>
      <c r="N5"/>
    </row>
    <row r="6" spans="2:14" ht="13.15" customHeight="1" x14ac:dyDescent="0.25">
      <c r="B6" s="1" t="s">
        <v>12</v>
      </c>
      <c r="C6" s="7">
        <v>20485</v>
      </c>
      <c r="D6" s="7">
        <v>1531</v>
      </c>
      <c r="E6" s="7">
        <v>326</v>
      </c>
      <c r="F6" s="4">
        <f t="shared" si="0"/>
        <v>22342</v>
      </c>
      <c r="H6" s="63">
        <f>C6/$F6</f>
        <v>0.91688300062662254</v>
      </c>
      <c r="I6" s="64"/>
      <c r="K6" s="60"/>
      <c r="L6"/>
      <c r="M6"/>
      <c r="N6"/>
    </row>
    <row r="7" spans="2:14" ht="13.15" customHeight="1" x14ac:dyDescent="0.25">
      <c r="B7" s="1" t="s">
        <v>13</v>
      </c>
      <c r="C7" s="7">
        <v>4542</v>
      </c>
      <c r="D7" s="7">
        <v>8214</v>
      </c>
      <c r="E7" s="7">
        <v>741</v>
      </c>
      <c r="F7" s="4">
        <f t="shared" si="0"/>
        <v>13497</v>
      </c>
      <c r="H7" s="63">
        <f t="shared" ref="H7:H23" si="1">C7/$F7</f>
        <v>0.33651922649477661</v>
      </c>
      <c r="I7" s="64"/>
      <c r="K7" s="60"/>
      <c r="L7"/>
      <c r="M7"/>
      <c r="N7"/>
    </row>
    <row r="8" spans="2:14" ht="13.15" customHeight="1" x14ac:dyDescent="0.25">
      <c r="B8" s="1" t="s">
        <v>14</v>
      </c>
      <c r="C8" s="7">
        <v>23737</v>
      </c>
      <c r="D8" s="7">
        <v>2683</v>
      </c>
      <c r="E8" s="7">
        <v>924</v>
      </c>
      <c r="F8" s="4">
        <f t="shared" si="0"/>
        <v>27344</v>
      </c>
      <c r="H8" s="63">
        <f t="shared" si="1"/>
        <v>0.86808806319485077</v>
      </c>
      <c r="I8" s="64"/>
      <c r="K8" s="60"/>
      <c r="L8"/>
      <c r="M8"/>
      <c r="N8"/>
    </row>
    <row r="9" spans="2:14" ht="13.15" customHeight="1" x14ac:dyDescent="0.25">
      <c r="B9" s="1" t="s">
        <v>15</v>
      </c>
      <c r="C9" s="7">
        <v>27514</v>
      </c>
      <c r="D9" s="7">
        <v>6787</v>
      </c>
      <c r="E9" s="7">
        <v>1692</v>
      </c>
      <c r="F9" s="4">
        <f t="shared" si="0"/>
        <v>35993</v>
      </c>
      <c r="H9" s="63">
        <f t="shared" si="1"/>
        <v>0.76442641624760366</v>
      </c>
      <c r="I9" s="64"/>
      <c r="K9" s="60"/>
      <c r="L9"/>
      <c r="M9"/>
      <c r="N9"/>
    </row>
    <row r="10" spans="2:14" ht="13.15" customHeight="1" x14ac:dyDescent="0.25">
      <c r="B10" s="1" t="s">
        <v>16</v>
      </c>
      <c r="C10" s="7">
        <v>10739</v>
      </c>
      <c r="D10" s="7">
        <v>4982</v>
      </c>
      <c r="E10" s="7">
        <v>2072</v>
      </c>
      <c r="F10" s="4">
        <f t="shared" si="0"/>
        <v>17793</v>
      </c>
      <c r="H10" s="63">
        <f t="shared" si="1"/>
        <v>0.60355195863541844</v>
      </c>
      <c r="I10" s="64"/>
      <c r="K10" s="60"/>
      <c r="L10"/>
      <c r="M10"/>
      <c r="N10"/>
    </row>
    <row r="11" spans="2:14" ht="13.15" customHeight="1" x14ac:dyDescent="0.25">
      <c r="B11" s="1" t="s">
        <v>17</v>
      </c>
      <c r="C11" s="7">
        <v>33658</v>
      </c>
      <c r="D11" s="7">
        <v>3591</v>
      </c>
      <c r="E11" s="7">
        <v>2714</v>
      </c>
      <c r="F11" s="4">
        <f t="shared" si="0"/>
        <v>39963</v>
      </c>
      <c r="H11" s="63">
        <f t="shared" si="1"/>
        <v>0.84222906188224111</v>
      </c>
      <c r="I11" s="64"/>
      <c r="K11" s="60"/>
      <c r="L11"/>
      <c r="M11"/>
      <c r="N11"/>
    </row>
    <row r="12" spans="2:14" ht="13.15" customHeight="1" x14ac:dyDescent="0.25">
      <c r="B12" s="1" t="s">
        <v>18</v>
      </c>
      <c r="C12" s="7">
        <v>478</v>
      </c>
      <c r="D12" s="7">
        <v>1848</v>
      </c>
      <c r="E12" s="7">
        <v>191</v>
      </c>
      <c r="F12" s="4">
        <f t="shared" si="0"/>
        <v>2517</v>
      </c>
      <c r="H12" s="63">
        <f t="shared" si="1"/>
        <v>0.18990862137465236</v>
      </c>
      <c r="I12" s="64"/>
      <c r="K12" s="60"/>
      <c r="L12"/>
      <c r="M12"/>
      <c r="N12"/>
    </row>
    <row r="13" spans="2:14" ht="13.15" customHeight="1" x14ac:dyDescent="0.25">
      <c r="B13" s="1" t="s">
        <v>19</v>
      </c>
      <c r="C13" s="7">
        <v>2050</v>
      </c>
      <c r="D13" s="7">
        <v>5016</v>
      </c>
      <c r="E13" s="7">
        <v>246</v>
      </c>
      <c r="F13" s="4">
        <f t="shared" si="0"/>
        <v>7312</v>
      </c>
      <c r="H13" s="63">
        <f t="shared" si="1"/>
        <v>0.28036105032822756</v>
      </c>
      <c r="I13" s="64"/>
      <c r="K13" s="60"/>
      <c r="L13"/>
      <c r="M13"/>
      <c r="N13"/>
    </row>
    <row r="14" spans="2:14" ht="13.15" customHeight="1" x14ac:dyDescent="0.25">
      <c r="B14" s="1" t="s">
        <v>20</v>
      </c>
      <c r="C14" s="7">
        <v>15339</v>
      </c>
      <c r="D14" s="7">
        <v>2190</v>
      </c>
      <c r="E14" s="7">
        <v>1511</v>
      </c>
      <c r="F14" s="4">
        <f t="shared" si="0"/>
        <v>19040</v>
      </c>
      <c r="H14" s="63">
        <f t="shared" si="1"/>
        <v>0.80561974789915969</v>
      </c>
      <c r="I14" s="64"/>
      <c r="K14" s="60"/>
      <c r="L14"/>
      <c r="M14"/>
      <c r="N14"/>
    </row>
    <row r="15" spans="2:14" ht="13.15" customHeight="1" x14ac:dyDescent="0.25">
      <c r="B15" s="1" t="s">
        <v>21</v>
      </c>
      <c r="C15" s="7">
        <v>15619</v>
      </c>
      <c r="D15" s="7">
        <v>831</v>
      </c>
      <c r="E15" s="7">
        <v>80</v>
      </c>
      <c r="F15" s="4">
        <f t="shared" si="0"/>
        <v>16530</v>
      </c>
      <c r="H15" s="63">
        <f t="shared" si="1"/>
        <v>0.94488808227465215</v>
      </c>
      <c r="I15" s="64"/>
      <c r="K15" s="60"/>
      <c r="L15"/>
      <c r="M15"/>
      <c r="N15"/>
    </row>
    <row r="16" spans="2:14" ht="13.15" customHeight="1" x14ac:dyDescent="0.25">
      <c r="B16" s="1" t="s">
        <v>22</v>
      </c>
      <c r="C16" s="7">
        <v>16906</v>
      </c>
      <c r="D16" s="7">
        <v>1477</v>
      </c>
      <c r="E16" s="7">
        <v>60</v>
      </c>
      <c r="F16" s="4">
        <f t="shared" si="0"/>
        <v>18443</v>
      </c>
      <c r="H16" s="63">
        <f t="shared" si="1"/>
        <v>0.91666214824052483</v>
      </c>
      <c r="I16" s="64"/>
      <c r="K16" s="60"/>
      <c r="L16"/>
      <c r="M16"/>
      <c r="N16"/>
    </row>
    <row r="17" spans="2:14" ht="13.15" customHeight="1" x14ac:dyDescent="0.25">
      <c r="B17" s="1" t="s">
        <v>23</v>
      </c>
      <c r="C17" s="7">
        <v>2572</v>
      </c>
      <c r="D17" s="7">
        <v>5476</v>
      </c>
      <c r="E17" s="7">
        <v>762</v>
      </c>
      <c r="F17" s="4">
        <f t="shared" si="0"/>
        <v>8810</v>
      </c>
      <c r="H17" s="63">
        <f t="shared" si="1"/>
        <v>0.29194097616345061</v>
      </c>
      <c r="I17" s="64"/>
      <c r="K17" s="60"/>
      <c r="L17"/>
      <c r="M17"/>
      <c r="N17"/>
    </row>
    <row r="18" spans="2:14" ht="13.15" customHeight="1" x14ac:dyDescent="0.25">
      <c r="B18" s="1" t="s">
        <v>24</v>
      </c>
      <c r="C18" s="7">
        <v>4368</v>
      </c>
      <c r="D18" s="7">
        <v>34978</v>
      </c>
      <c r="E18" s="7">
        <v>3032</v>
      </c>
      <c r="F18" s="4">
        <f t="shared" si="0"/>
        <v>42378</v>
      </c>
      <c r="H18" s="63">
        <f t="shared" si="1"/>
        <v>0.10307234886025768</v>
      </c>
      <c r="I18" s="64"/>
      <c r="K18" s="60"/>
      <c r="L18"/>
      <c r="M18"/>
      <c r="N18"/>
    </row>
    <row r="19" spans="2:14" ht="13.15" customHeight="1" x14ac:dyDescent="0.25">
      <c r="B19" s="1" t="s">
        <v>25</v>
      </c>
      <c r="C19" s="7">
        <v>86</v>
      </c>
      <c r="D19" s="7">
        <v>202</v>
      </c>
      <c r="E19" s="7"/>
      <c r="F19" s="4">
        <f t="shared" si="0"/>
        <v>288</v>
      </c>
      <c r="H19" s="63">
        <f t="shared" si="1"/>
        <v>0.2986111111111111</v>
      </c>
      <c r="I19" s="64"/>
      <c r="K19" s="60"/>
      <c r="L19"/>
      <c r="M19"/>
      <c r="N19"/>
    </row>
    <row r="20" spans="2:14" ht="13.15" customHeight="1" x14ac:dyDescent="0.25">
      <c r="B20" s="1" t="s">
        <v>26</v>
      </c>
      <c r="C20" s="7">
        <v>4724</v>
      </c>
      <c r="D20" s="7">
        <v>8538</v>
      </c>
      <c r="E20" s="7">
        <v>1482</v>
      </c>
      <c r="F20" s="4">
        <f t="shared" si="0"/>
        <v>14744</v>
      </c>
      <c r="H20" s="63">
        <f t="shared" si="1"/>
        <v>0.32040151926207272</v>
      </c>
      <c r="I20" s="64"/>
      <c r="K20" s="60"/>
      <c r="L20"/>
      <c r="M20"/>
      <c r="N20"/>
    </row>
    <row r="21" spans="2:14" ht="13.15" customHeight="1" x14ac:dyDescent="0.25">
      <c r="B21" s="1" t="s">
        <v>27</v>
      </c>
      <c r="C21" s="7">
        <v>748</v>
      </c>
      <c r="D21" s="7">
        <v>5878</v>
      </c>
      <c r="E21" s="7">
        <v>565</v>
      </c>
      <c r="F21" s="4">
        <f t="shared" si="0"/>
        <v>7191</v>
      </c>
      <c r="H21" s="63">
        <f t="shared" si="1"/>
        <v>0.10401891252955082</v>
      </c>
      <c r="I21" s="64"/>
      <c r="K21" s="60"/>
      <c r="L21"/>
      <c r="M21"/>
      <c r="N21"/>
    </row>
    <row r="22" spans="2:14" ht="13.15" customHeight="1" x14ac:dyDescent="0.25">
      <c r="B22" s="1" t="s">
        <v>28</v>
      </c>
      <c r="C22" s="7">
        <v>18513</v>
      </c>
      <c r="D22" s="7">
        <v>4265</v>
      </c>
      <c r="E22" s="7">
        <v>2912</v>
      </c>
      <c r="F22" s="4">
        <f t="shared" si="0"/>
        <v>25690</v>
      </c>
      <c r="H22" s="63">
        <f t="shared" si="1"/>
        <v>0.72063059556247566</v>
      </c>
      <c r="I22" s="64"/>
      <c r="K22" s="60"/>
      <c r="L22"/>
      <c r="M22"/>
      <c r="N22"/>
    </row>
    <row r="23" spans="2:14" ht="13.15" customHeight="1" thickBot="1" x14ac:dyDescent="0.3">
      <c r="B23" s="47" t="s">
        <v>29</v>
      </c>
      <c r="C23" s="48">
        <v>14371</v>
      </c>
      <c r="D23" s="48">
        <v>1802</v>
      </c>
      <c r="E23" s="48">
        <v>1065</v>
      </c>
      <c r="F23" s="49">
        <f t="shared" si="0"/>
        <v>17238</v>
      </c>
      <c r="H23" s="65">
        <f t="shared" si="1"/>
        <v>0.83368140155470472</v>
      </c>
      <c r="I23" s="66"/>
      <c r="K23" s="60"/>
      <c r="L23"/>
      <c r="M23"/>
      <c r="N23"/>
    </row>
    <row r="24" spans="2:14" ht="13.15" customHeight="1" thickBot="1" x14ac:dyDescent="0.25">
      <c r="B24" s="28"/>
      <c r="C24" s="29"/>
      <c r="D24" s="29"/>
      <c r="E24" s="29"/>
      <c r="F24" s="29"/>
      <c r="H24" s="30"/>
      <c r="I24" s="30"/>
    </row>
    <row r="25" spans="2:14" ht="13.15" customHeight="1" x14ac:dyDescent="0.2">
      <c r="B25" s="41" t="s">
        <v>35</v>
      </c>
      <c r="C25" s="23" t="s">
        <v>0</v>
      </c>
      <c r="D25" s="23" t="s">
        <v>1</v>
      </c>
      <c r="E25" s="24" t="s">
        <v>2</v>
      </c>
      <c r="F25" s="33" t="s">
        <v>32</v>
      </c>
      <c r="H25" s="27"/>
      <c r="I25" s="27"/>
    </row>
    <row r="26" spans="2:14" ht="15" thickBot="1" x14ac:dyDescent="0.25">
      <c r="B26" s="36" t="s">
        <v>33</v>
      </c>
      <c r="C26" s="25">
        <f>SUM(C4:C23)</f>
        <v>223802</v>
      </c>
      <c r="D26" s="9">
        <f>SUM(D4:D23)</f>
        <v>109543</v>
      </c>
      <c r="E26" s="37">
        <f>SUM(E4:E23)</f>
        <v>21412</v>
      </c>
      <c r="F26" s="50">
        <f>SUM(F4:F23)</f>
        <v>354757</v>
      </c>
      <c r="H26" s="57">
        <f>$F$26/$F$33</f>
        <v>0.98364369371367733</v>
      </c>
    </row>
    <row r="27" spans="2:14" ht="13.9" customHeight="1" thickBot="1" x14ac:dyDescent="0.25">
      <c r="B27" s="42" t="s">
        <v>30</v>
      </c>
      <c r="C27" s="13">
        <f t="shared" ref="C27:E27" si="2">C$26/$F$26</f>
        <v>0.63085999712479246</v>
      </c>
      <c r="D27" s="26">
        <f t="shared" si="2"/>
        <v>0.30878319525759884</v>
      </c>
      <c r="E27" s="38">
        <f t="shared" si="2"/>
        <v>6.0356807617608671E-2</v>
      </c>
      <c r="F27" s="35"/>
    </row>
    <row r="28" spans="2:14" ht="14.45" customHeight="1" thickBot="1" x14ac:dyDescent="0.25"/>
    <row r="29" spans="2:14" ht="14.45" customHeight="1" x14ac:dyDescent="0.2">
      <c r="B29" s="67" t="s">
        <v>36</v>
      </c>
      <c r="C29" s="10" t="s">
        <v>0</v>
      </c>
      <c r="D29" s="10" t="s">
        <v>1</v>
      </c>
      <c r="E29" s="56" t="s">
        <v>2</v>
      </c>
      <c r="F29" s="43" t="s">
        <v>32</v>
      </c>
    </row>
    <row r="30" spans="2:14" ht="13.9" customHeight="1" thickBot="1" x14ac:dyDescent="0.25">
      <c r="B30" s="68"/>
      <c r="C30" s="44">
        <v>2413</v>
      </c>
      <c r="D30" s="45">
        <v>1666</v>
      </c>
      <c r="E30" s="46">
        <v>1820</v>
      </c>
      <c r="F30" s="51">
        <f>SUM(C30:E30)</f>
        <v>5899</v>
      </c>
      <c r="H30" s="57">
        <f>$F$30/$F$33</f>
        <v>1.6356306286322699E-2</v>
      </c>
    </row>
    <row r="31" spans="2:14" ht="15" thickBot="1" x14ac:dyDescent="0.25"/>
    <row r="32" spans="2:14" x14ac:dyDescent="0.2">
      <c r="B32" s="16" t="s">
        <v>34</v>
      </c>
      <c r="C32" s="23" t="s">
        <v>0</v>
      </c>
      <c r="D32" s="23" t="s">
        <v>1</v>
      </c>
      <c r="E32" s="31" t="s">
        <v>2</v>
      </c>
      <c r="F32" s="33" t="s">
        <v>32</v>
      </c>
    </row>
    <row r="33" spans="2:9" ht="13.9" customHeight="1" thickBot="1" x14ac:dyDescent="0.25">
      <c r="B33" s="17" t="s">
        <v>33</v>
      </c>
      <c r="C33" s="20">
        <f>$C$26+$C$30</f>
        <v>226215</v>
      </c>
      <c r="D33" s="21">
        <f>$D$26+$D$30</f>
        <v>111209</v>
      </c>
      <c r="E33" s="32">
        <f>$E$26+$E$30</f>
        <v>23232</v>
      </c>
      <c r="F33" s="34">
        <f>SUM(C33:E33)</f>
        <v>360656</v>
      </c>
    </row>
    <row r="34" spans="2:9" ht="13.9" customHeight="1" thickBot="1" x14ac:dyDescent="0.25">
      <c r="B34" s="18" t="s">
        <v>30</v>
      </c>
      <c r="C34" s="13">
        <f>($C$26+$C$30)/($F$26+$F$30)</f>
        <v>0.62723204383124087</v>
      </c>
      <c r="D34" s="11">
        <f>($D$26+$D$30)/($F$26+$F$30)</f>
        <v>0.30835200301672505</v>
      </c>
      <c r="E34" s="12">
        <f>($E$26+$E$30)/($F$26+$F$30)</f>
        <v>6.4415953152034078E-2</v>
      </c>
    </row>
    <row r="35" spans="2:9" ht="21.6" customHeight="1" x14ac:dyDescent="0.2">
      <c r="B35" s="69" t="s">
        <v>41</v>
      </c>
      <c r="C35" s="69"/>
      <c r="D35" s="69"/>
      <c r="E35" s="69"/>
      <c r="F35" s="69"/>
      <c r="G35" s="69"/>
      <c r="H35" s="69"/>
      <c r="I35" s="69"/>
    </row>
  </sheetData>
  <mergeCells count="23">
    <mergeCell ref="H21:I21"/>
    <mergeCell ref="H22:I22"/>
    <mergeCell ref="H23:I23"/>
    <mergeCell ref="B29:B30"/>
    <mergeCell ref="B35:I35"/>
    <mergeCell ref="H20:I20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8:I8"/>
    <mergeCell ref="H2:I3"/>
    <mergeCell ref="H4:I4"/>
    <mergeCell ref="H5:I5"/>
    <mergeCell ref="H6:I6"/>
    <mergeCell ref="H7:I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BBB0-1DCE-4BDE-9224-8188BC026FC3}">
  <dimension ref="B1:N35"/>
  <sheetViews>
    <sheetView showGridLines="0" topLeftCell="A20" zoomScale="110" zoomScaleNormal="110" workbookViewId="0"/>
  </sheetViews>
  <sheetFormatPr baseColWidth="10" defaultColWidth="11.5703125" defaultRowHeight="14.25" x14ac:dyDescent="0.2"/>
  <cols>
    <col min="1" max="1" width="1.140625" style="8" customWidth="1"/>
    <col min="2" max="2" width="14.85546875" style="8" customWidth="1"/>
    <col min="3" max="3" width="11.5703125" style="8"/>
    <col min="4" max="4" width="15.42578125" style="8" customWidth="1"/>
    <col min="5" max="6" width="11.5703125" style="8"/>
    <col min="7" max="7" width="1.42578125" style="8" customWidth="1"/>
    <col min="8" max="8" width="7.42578125" style="8" customWidth="1"/>
    <col min="9" max="9" width="7" style="8" customWidth="1"/>
    <col min="10" max="16384" width="11.5703125" style="8"/>
  </cols>
  <sheetData>
    <row r="1" spans="2:14" ht="8.4499999999999993" customHeight="1" thickBot="1" x14ac:dyDescent="0.25"/>
    <row r="2" spans="2:14" ht="36.6" customHeight="1" x14ac:dyDescent="0.2">
      <c r="B2" s="54" t="s">
        <v>37</v>
      </c>
      <c r="C2" s="55" t="s">
        <v>5</v>
      </c>
      <c r="D2" s="55" t="s">
        <v>6</v>
      </c>
      <c r="E2" s="55" t="s">
        <v>7</v>
      </c>
      <c r="F2" s="53"/>
      <c r="H2" s="70" t="s">
        <v>31</v>
      </c>
      <c r="I2" s="71"/>
    </row>
    <row r="3" spans="2:14" x14ac:dyDescent="0.2">
      <c r="B3" s="58" t="s">
        <v>3</v>
      </c>
      <c r="C3" s="5" t="s">
        <v>0</v>
      </c>
      <c r="D3" s="5" t="s">
        <v>1</v>
      </c>
      <c r="E3" s="5" t="s">
        <v>2</v>
      </c>
      <c r="F3" s="59" t="s">
        <v>8</v>
      </c>
      <c r="H3" s="72"/>
      <c r="I3" s="73"/>
    </row>
    <row r="4" spans="2:14" ht="13.15" customHeight="1" x14ac:dyDescent="0.25">
      <c r="B4" s="2" t="s">
        <v>10</v>
      </c>
      <c r="C4" s="7">
        <v>5241</v>
      </c>
      <c r="D4" s="7">
        <v>494</v>
      </c>
      <c r="E4" s="7">
        <v>9</v>
      </c>
      <c r="F4" s="4">
        <f>SUM(C4:E4)</f>
        <v>5744</v>
      </c>
      <c r="H4" s="74">
        <f>C4/$F4</f>
        <v>0.91243036211699169</v>
      </c>
      <c r="I4" s="75"/>
      <c r="K4" s="60"/>
      <c r="L4"/>
      <c r="M4"/>
      <c r="N4"/>
    </row>
    <row r="5" spans="2:14" ht="13.15" customHeight="1" x14ac:dyDescent="0.25">
      <c r="B5" s="1" t="s">
        <v>11</v>
      </c>
      <c r="C5" s="7">
        <v>2112</v>
      </c>
      <c r="D5" s="7">
        <v>8760</v>
      </c>
      <c r="E5" s="7">
        <v>1032</v>
      </c>
      <c r="F5" s="4">
        <f t="shared" ref="F5:F23" si="0">SUM(C5:E5)</f>
        <v>11904</v>
      </c>
      <c r="H5" s="63">
        <f>C5/$F5</f>
        <v>0.17741935483870969</v>
      </c>
      <c r="I5" s="64"/>
      <c r="K5" s="60"/>
      <c r="L5"/>
      <c r="M5"/>
      <c r="N5"/>
    </row>
    <row r="6" spans="2:14" ht="13.15" customHeight="1" x14ac:dyDescent="0.25">
      <c r="B6" s="1" t="s">
        <v>12</v>
      </c>
      <c r="C6" s="7">
        <v>20489</v>
      </c>
      <c r="D6" s="7">
        <v>1531</v>
      </c>
      <c r="E6" s="7">
        <v>326</v>
      </c>
      <c r="F6" s="4">
        <f t="shared" si="0"/>
        <v>22346</v>
      </c>
      <c r="H6" s="63">
        <f>C6/$F6</f>
        <v>0.9168978788150004</v>
      </c>
      <c r="I6" s="64"/>
      <c r="K6" s="60"/>
      <c r="L6"/>
      <c r="M6"/>
      <c r="N6"/>
    </row>
    <row r="7" spans="2:14" ht="13.15" customHeight="1" x14ac:dyDescent="0.25">
      <c r="B7" s="1" t="s">
        <v>13</v>
      </c>
      <c r="C7" s="7">
        <v>4553</v>
      </c>
      <c r="D7" s="7">
        <v>8214</v>
      </c>
      <c r="E7" s="7">
        <v>741</v>
      </c>
      <c r="F7" s="4">
        <f t="shared" si="0"/>
        <v>13508</v>
      </c>
      <c r="H7" s="63">
        <f t="shared" ref="H7:H23" si="1">C7/$F7</f>
        <v>0.33705952028427599</v>
      </c>
      <c r="I7" s="64"/>
      <c r="K7" s="60"/>
      <c r="L7"/>
      <c r="M7"/>
      <c r="N7"/>
    </row>
    <row r="8" spans="2:14" ht="13.15" customHeight="1" x14ac:dyDescent="0.25">
      <c r="B8" s="1" t="s">
        <v>14</v>
      </c>
      <c r="C8" s="7">
        <v>23756</v>
      </c>
      <c r="D8" s="7">
        <v>2684</v>
      </c>
      <c r="E8" s="7">
        <v>924</v>
      </c>
      <c r="F8" s="4">
        <f t="shared" si="0"/>
        <v>27364</v>
      </c>
      <c r="H8" s="63">
        <f t="shared" si="1"/>
        <v>0.86814793158894898</v>
      </c>
      <c r="I8" s="64"/>
      <c r="K8" s="60"/>
      <c r="L8"/>
      <c r="M8"/>
      <c r="N8"/>
    </row>
    <row r="9" spans="2:14" ht="13.15" customHeight="1" x14ac:dyDescent="0.25">
      <c r="B9" s="1" t="s">
        <v>15</v>
      </c>
      <c r="C9" s="7">
        <v>27537</v>
      </c>
      <c r="D9" s="7">
        <v>6779</v>
      </c>
      <c r="E9" s="7">
        <v>1694</v>
      </c>
      <c r="F9" s="4">
        <f t="shared" si="0"/>
        <v>36010</v>
      </c>
      <c r="H9" s="63">
        <f t="shared" si="1"/>
        <v>0.76470424881977228</v>
      </c>
      <c r="I9" s="64"/>
      <c r="K9" s="60"/>
      <c r="L9"/>
      <c r="M9"/>
      <c r="N9"/>
    </row>
    <row r="10" spans="2:14" ht="13.15" customHeight="1" x14ac:dyDescent="0.25">
      <c r="B10" s="1" t="s">
        <v>16</v>
      </c>
      <c r="C10" s="7">
        <v>10743</v>
      </c>
      <c r="D10" s="7">
        <v>4982</v>
      </c>
      <c r="E10" s="7">
        <v>2072</v>
      </c>
      <c r="F10" s="4">
        <f t="shared" si="0"/>
        <v>17797</v>
      </c>
      <c r="H10" s="63">
        <f t="shared" si="1"/>
        <v>0.60364106310052257</v>
      </c>
      <c r="I10" s="64"/>
      <c r="K10" s="60"/>
      <c r="L10"/>
      <c r="M10"/>
      <c r="N10"/>
    </row>
    <row r="11" spans="2:14" ht="13.15" customHeight="1" x14ac:dyDescent="0.25">
      <c r="B11" s="1" t="s">
        <v>17</v>
      </c>
      <c r="C11" s="7">
        <v>33664</v>
      </c>
      <c r="D11" s="7">
        <v>3590</v>
      </c>
      <c r="E11" s="7">
        <v>2715</v>
      </c>
      <c r="F11" s="4">
        <f t="shared" si="0"/>
        <v>39969</v>
      </c>
      <c r="H11" s="63">
        <f t="shared" si="1"/>
        <v>0.84225274587805554</v>
      </c>
      <c r="I11" s="64"/>
      <c r="K11" s="60"/>
      <c r="L11"/>
      <c r="M11"/>
      <c r="N11"/>
    </row>
    <row r="12" spans="2:14" ht="13.15" customHeight="1" x14ac:dyDescent="0.25">
      <c r="B12" s="1" t="s">
        <v>18</v>
      </c>
      <c r="C12" s="7">
        <v>478</v>
      </c>
      <c r="D12" s="7">
        <v>1848</v>
      </c>
      <c r="E12" s="7">
        <v>191</v>
      </c>
      <c r="F12" s="4">
        <f t="shared" si="0"/>
        <v>2517</v>
      </c>
      <c r="H12" s="63">
        <f t="shared" si="1"/>
        <v>0.18990862137465236</v>
      </c>
      <c r="I12" s="64"/>
      <c r="K12" s="60"/>
      <c r="L12"/>
      <c r="M12"/>
      <c r="N12"/>
    </row>
    <row r="13" spans="2:14" ht="13.15" customHeight="1" x14ac:dyDescent="0.25">
      <c r="B13" s="1" t="s">
        <v>19</v>
      </c>
      <c r="C13" s="7">
        <v>2052</v>
      </c>
      <c r="D13" s="7">
        <v>5016</v>
      </c>
      <c r="E13" s="7">
        <v>246</v>
      </c>
      <c r="F13" s="4">
        <f t="shared" si="0"/>
        <v>7314</v>
      </c>
      <c r="H13" s="63">
        <f t="shared" si="1"/>
        <v>0.28055783429040199</v>
      </c>
      <c r="I13" s="64"/>
      <c r="K13" s="60"/>
      <c r="L13"/>
      <c r="M13"/>
      <c r="N13"/>
    </row>
    <row r="14" spans="2:14" ht="13.15" customHeight="1" x14ac:dyDescent="0.25">
      <c r="B14" s="1" t="s">
        <v>20</v>
      </c>
      <c r="C14" s="7">
        <v>15346</v>
      </c>
      <c r="D14" s="7">
        <v>2190</v>
      </c>
      <c r="E14" s="7">
        <v>1509</v>
      </c>
      <c r="F14" s="4">
        <f t="shared" si="0"/>
        <v>19045</v>
      </c>
      <c r="H14" s="63">
        <f t="shared" si="1"/>
        <v>0.80577579417169864</v>
      </c>
      <c r="I14" s="64"/>
      <c r="K14" s="60"/>
      <c r="L14"/>
      <c r="M14"/>
      <c r="N14"/>
    </row>
    <row r="15" spans="2:14" ht="13.15" customHeight="1" x14ac:dyDescent="0.25">
      <c r="B15" s="1" t="s">
        <v>21</v>
      </c>
      <c r="C15" s="7">
        <v>15620</v>
      </c>
      <c r="D15" s="7">
        <v>831</v>
      </c>
      <c r="E15" s="7">
        <v>80</v>
      </c>
      <c r="F15" s="4">
        <f t="shared" si="0"/>
        <v>16531</v>
      </c>
      <c r="H15" s="63">
        <f t="shared" si="1"/>
        <v>0.94489141612727601</v>
      </c>
      <c r="I15" s="64"/>
      <c r="K15" s="60"/>
      <c r="L15"/>
      <c r="M15"/>
      <c r="N15"/>
    </row>
    <row r="16" spans="2:14" ht="13.15" customHeight="1" x14ac:dyDescent="0.25">
      <c r="B16" s="1" t="s">
        <v>22</v>
      </c>
      <c r="C16" s="7">
        <v>16916</v>
      </c>
      <c r="D16" s="7">
        <v>1477</v>
      </c>
      <c r="E16" s="7">
        <v>60</v>
      </c>
      <c r="F16" s="4">
        <f t="shared" si="0"/>
        <v>18453</v>
      </c>
      <c r="H16" s="63">
        <f t="shared" si="1"/>
        <v>0.91670731046442311</v>
      </c>
      <c r="I16" s="64"/>
      <c r="K16" s="60"/>
      <c r="L16"/>
      <c r="M16"/>
      <c r="N16"/>
    </row>
    <row r="17" spans="2:14" ht="13.15" customHeight="1" x14ac:dyDescent="0.25">
      <c r="B17" s="1" t="s">
        <v>23</v>
      </c>
      <c r="C17" s="7">
        <v>2573</v>
      </c>
      <c r="D17" s="7">
        <v>5476</v>
      </c>
      <c r="E17" s="7">
        <v>762</v>
      </c>
      <c r="F17" s="4">
        <f t="shared" si="0"/>
        <v>8811</v>
      </c>
      <c r="H17" s="63">
        <f t="shared" si="1"/>
        <v>0.2920213369651572</v>
      </c>
      <c r="I17" s="64"/>
      <c r="K17" s="60"/>
      <c r="L17"/>
      <c r="M17"/>
      <c r="N17"/>
    </row>
    <row r="18" spans="2:14" ht="13.15" customHeight="1" x14ac:dyDescent="0.25">
      <c r="B18" s="1" t="s">
        <v>24</v>
      </c>
      <c r="C18" s="7">
        <v>4385</v>
      </c>
      <c r="D18" s="7">
        <v>34991</v>
      </c>
      <c r="E18" s="7">
        <v>3025</v>
      </c>
      <c r="F18" s="4">
        <f t="shared" si="0"/>
        <v>42401</v>
      </c>
      <c r="H18" s="63">
        <f t="shared" si="1"/>
        <v>0.10341737223178699</v>
      </c>
      <c r="I18" s="64"/>
      <c r="K18" s="60"/>
      <c r="L18"/>
      <c r="M18"/>
      <c r="N18"/>
    </row>
    <row r="19" spans="2:14" ht="13.15" customHeight="1" x14ac:dyDescent="0.25">
      <c r="B19" s="1" t="s">
        <v>25</v>
      </c>
      <c r="C19" s="7">
        <v>86</v>
      </c>
      <c r="D19" s="7">
        <v>202</v>
      </c>
      <c r="E19" s="7"/>
      <c r="F19" s="4">
        <f t="shared" si="0"/>
        <v>288</v>
      </c>
      <c r="H19" s="63">
        <f t="shared" si="1"/>
        <v>0.2986111111111111</v>
      </c>
      <c r="I19" s="64"/>
      <c r="K19" s="60"/>
      <c r="L19"/>
      <c r="M19"/>
      <c r="N19"/>
    </row>
    <row r="20" spans="2:14" ht="13.15" customHeight="1" x14ac:dyDescent="0.25">
      <c r="B20" s="1" t="s">
        <v>26</v>
      </c>
      <c r="C20" s="7">
        <v>4726</v>
      </c>
      <c r="D20" s="7">
        <v>8537</v>
      </c>
      <c r="E20" s="7">
        <v>1476</v>
      </c>
      <c r="F20" s="4">
        <f t="shared" si="0"/>
        <v>14739</v>
      </c>
      <c r="H20" s="63">
        <f t="shared" si="1"/>
        <v>0.32064590542099192</v>
      </c>
      <c r="I20" s="64"/>
      <c r="K20" s="60"/>
      <c r="L20"/>
      <c r="M20"/>
      <c r="N20"/>
    </row>
    <row r="21" spans="2:14" ht="13.15" customHeight="1" x14ac:dyDescent="0.25">
      <c r="B21" s="1" t="s">
        <v>27</v>
      </c>
      <c r="C21" s="7">
        <v>749</v>
      </c>
      <c r="D21" s="7">
        <v>5879</v>
      </c>
      <c r="E21" s="7">
        <v>563</v>
      </c>
      <c r="F21" s="4">
        <f t="shared" si="0"/>
        <v>7191</v>
      </c>
      <c r="H21" s="63">
        <f t="shared" si="1"/>
        <v>0.10415797524683633</v>
      </c>
      <c r="I21" s="64"/>
      <c r="K21" s="60"/>
      <c r="L21"/>
      <c r="M21"/>
      <c r="N21"/>
    </row>
    <row r="22" spans="2:14" ht="13.15" customHeight="1" x14ac:dyDescent="0.25">
      <c r="B22" s="1" t="s">
        <v>28</v>
      </c>
      <c r="C22" s="7">
        <v>18528</v>
      </c>
      <c r="D22" s="7">
        <v>4269</v>
      </c>
      <c r="E22" s="7">
        <v>2910</v>
      </c>
      <c r="F22" s="4">
        <f t="shared" si="0"/>
        <v>25707</v>
      </c>
      <c r="H22" s="63">
        <f t="shared" si="1"/>
        <v>0.72073754230365272</v>
      </c>
      <c r="I22" s="64"/>
      <c r="K22" s="60"/>
      <c r="L22"/>
      <c r="M22"/>
      <c r="N22"/>
    </row>
    <row r="23" spans="2:14" ht="13.15" customHeight="1" thickBot="1" x14ac:dyDescent="0.3">
      <c r="B23" s="47" t="s">
        <v>29</v>
      </c>
      <c r="C23" s="48">
        <v>14424</v>
      </c>
      <c r="D23" s="48">
        <v>1793</v>
      </c>
      <c r="E23" s="48">
        <v>1065</v>
      </c>
      <c r="F23" s="49">
        <f t="shared" si="0"/>
        <v>17282</v>
      </c>
      <c r="H23" s="65">
        <f t="shared" si="1"/>
        <v>0.83462562203448676</v>
      </c>
      <c r="I23" s="66"/>
      <c r="K23" s="60"/>
      <c r="L23"/>
      <c r="M23"/>
      <c r="N23"/>
    </row>
    <row r="24" spans="2:14" ht="13.15" customHeight="1" thickBot="1" x14ac:dyDescent="0.25">
      <c r="B24" s="28"/>
      <c r="C24" s="29"/>
      <c r="D24" s="29"/>
      <c r="E24" s="29"/>
      <c r="F24" s="29"/>
      <c r="H24" s="30"/>
      <c r="I24" s="30"/>
    </row>
    <row r="25" spans="2:14" ht="13.15" customHeight="1" x14ac:dyDescent="0.2">
      <c r="B25" s="41" t="s">
        <v>35</v>
      </c>
      <c r="C25" s="23" t="s">
        <v>0</v>
      </c>
      <c r="D25" s="23" t="s">
        <v>1</v>
      </c>
      <c r="E25" s="24" t="s">
        <v>2</v>
      </c>
      <c r="F25" s="33" t="s">
        <v>32</v>
      </c>
      <c r="H25" s="27"/>
      <c r="I25" s="27"/>
    </row>
    <row r="26" spans="2:14" ht="15" thickBot="1" x14ac:dyDescent="0.25">
      <c r="B26" s="36" t="s">
        <v>33</v>
      </c>
      <c r="C26" s="25">
        <f>SUM(C4:C23)</f>
        <v>223978</v>
      </c>
      <c r="D26" s="9">
        <f>SUM(D4:D23)</f>
        <v>109543</v>
      </c>
      <c r="E26" s="37">
        <f>SUM(E4:E23)</f>
        <v>21400</v>
      </c>
      <c r="F26" s="50">
        <f>SUM(F4:F23)</f>
        <v>354921</v>
      </c>
      <c r="H26" s="57">
        <f>$F$26/$F$33</f>
        <v>0.98365112798625354</v>
      </c>
    </row>
    <row r="27" spans="2:14" ht="13.9" customHeight="1" thickBot="1" x14ac:dyDescent="0.25">
      <c r="B27" s="42" t="s">
        <v>30</v>
      </c>
      <c r="C27" s="13">
        <f t="shared" ref="C27:E27" si="2">C$26/$F$26</f>
        <v>0.63106437770658819</v>
      </c>
      <c r="D27" s="26">
        <f t="shared" si="2"/>
        <v>0.30864051436798612</v>
      </c>
      <c r="E27" s="38">
        <f t="shared" si="2"/>
        <v>6.029510792542566E-2</v>
      </c>
      <c r="F27" s="35"/>
    </row>
    <row r="28" spans="2:14" ht="14.45" customHeight="1" thickBot="1" x14ac:dyDescent="0.25"/>
    <row r="29" spans="2:14" ht="14.45" customHeight="1" x14ac:dyDescent="0.2">
      <c r="B29" s="67" t="s">
        <v>36</v>
      </c>
      <c r="C29" s="10" t="s">
        <v>0</v>
      </c>
      <c r="D29" s="10" t="s">
        <v>1</v>
      </c>
      <c r="E29" s="56" t="s">
        <v>2</v>
      </c>
      <c r="F29" s="43" t="s">
        <v>32</v>
      </c>
    </row>
    <row r="30" spans="2:14" ht="13.9" customHeight="1" thickBot="1" x14ac:dyDescent="0.25">
      <c r="B30" s="68"/>
      <c r="C30" s="44">
        <v>2413</v>
      </c>
      <c r="D30" s="45">
        <v>1666</v>
      </c>
      <c r="E30" s="46">
        <v>1820</v>
      </c>
      <c r="F30" s="51">
        <f>SUM(C30:E30)</f>
        <v>5899</v>
      </c>
      <c r="H30" s="57">
        <f>$F$30/$F$33</f>
        <v>1.6348872013746466E-2</v>
      </c>
    </row>
    <row r="31" spans="2:14" ht="15" thickBot="1" x14ac:dyDescent="0.25"/>
    <row r="32" spans="2:14" x14ac:dyDescent="0.2">
      <c r="B32" s="16" t="s">
        <v>34</v>
      </c>
      <c r="C32" s="23" t="s">
        <v>0</v>
      </c>
      <c r="D32" s="23" t="s">
        <v>1</v>
      </c>
      <c r="E32" s="31" t="s">
        <v>2</v>
      </c>
      <c r="F32" s="33" t="s">
        <v>32</v>
      </c>
    </row>
    <row r="33" spans="2:9" ht="13.9" customHeight="1" thickBot="1" x14ac:dyDescent="0.25">
      <c r="B33" s="17" t="s">
        <v>33</v>
      </c>
      <c r="C33" s="20">
        <f>$C$26+$C$30</f>
        <v>226391</v>
      </c>
      <c r="D33" s="21">
        <f>$D$26+$D$30</f>
        <v>111209</v>
      </c>
      <c r="E33" s="32">
        <f>$E$26+$E$30</f>
        <v>23220</v>
      </c>
      <c r="F33" s="34">
        <f>SUM(C33:E33)</f>
        <v>360820</v>
      </c>
    </row>
    <row r="34" spans="2:9" ht="13.9" customHeight="1" thickBot="1" x14ac:dyDescent="0.25">
      <c r="B34" s="18" t="s">
        <v>30</v>
      </c>
      <c r="C34" s="13">
        <f>($C$26+$C$30)/($F$26+$F$30)</f>
        <v>0.62743473199933486</v>
      </c>
      <c r="D34" s="11">
        <f>($D$26+$D$30)/($F$26+$F$30)</f>
        <v>0.30821185078432461</v>
      </c>
      <c r="E34" s="12">
        <f>($E$26+$E$30)/($F$26+$F$30)</f>
        <v>6.4353417216340553E-2</v>
      </c>
    </row>
    <row r="35" spans="2:9" ht="21.6" customHeight="1" x14ac:dyDescent="0.2">
      <c r="B35" s="69" t="s">
        <v>42</v>
      </c>
      <c r="C35" s="69"/>
      <c r="D35" s="69"/>
      <c r="E35" s="69"/>
      <c r="F35" s="69"/>
      <c r="G35" s="69"/>
      <c r="H35" s="69"/>
      <c r="I35" s="69"/>
    </row>
  </sheetData>
  <mergeCells count="23">
    <mergeCell ref="H8:I8"/>
    <mergeCell ref="H2:I3"/>
    <mergeCell ref="H4:I4"/>
    <mergeCell ref="H5:I5"/>
    <mergeCell ref="H6:I6"/>
    <mergeCell ref="H7:I7"/>
    <mergeCell ref="H20:I20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1:I21"/>
    <mergeCell ref="H22:I22"/>
    <mergeCell ref="H23:I23"/>
    <mergeCell ref="B29:B30"/>
    <mergeCell ref="B35:I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MAY</vt:lpstr>
      <vt:lpstr>JUN</vt:lpstr>
      <vt:lpstr>JUN v.2</vt:lpstr>
      <vt:lpstr>JUL</vt:lpstr>
      <vt:lpstr>AGO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 Her</dc:creator>
  <cp:lastModifiedBy>ISA</cp:lastModifiedBy>
  <dcterms:created xsi:type="dcterms:W3CDTF">2021-02-11T16:26:33Z</dcterms:created>
  <dcterms:modified xsi:type="dcterms:W3CDTF">2023-01-19T15:54:41Z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ac521f-e930-485b-97f4-efbe7db8e98f_Enabled">
    <vt:lpwstr>true</vt:lpwstr>
  </property>
  <property fmtid="{D5CDD505-2E9C-101B-9397-08002B2CF9AE}" pid="3" name="MSIP_Label_5fac521f-e930-485b-97f4-efbe7db8e98f_SetDate">
    <vt:lpwstr>2022-12-02T13:39:56Z</vt:lpwstr>
  </property>
  <property fmtid="{D5CDD505-2E9C-101B-9397-08002B2CF9AE}" pid="4" name="MSIP_Label_5fac521f-e930-485b-97f4-efbe7db8e98f_Method">
    <vt:lpwstr>Standard</vt:lpwstr>
  </property>
  <property fmtid="{D5CDD505-2E9C-101B-9397-08002B2CF9AE}" pid="5" name="MSIP_Label_5fac521f-e930-485b-97f4-efbe7db8e98f_Name">
    <vt:lpwstr>defa4170-0d19-0005-0004-bc88714345d2</vt:lpwstr>
  </property>
  <property fmtid="{D5CDD505-2E9C-101B-9397-08002B2CF9AE}" pid="6" name="MSIP_Label_5fac521f-e930-485b-97f4-efbe7db8e98f_SiteId">
    <vt:lpwstr>9ecb216e-449b-4584-bc82-26bce78574fb</vt:lpwstr>
  </property>
  <property fmtid="{D5CDD505-2E9C-101B-9397-08002B2CF9AE}" pid="7" name="MSIP_Label_5fac521f-e930-485b-97f4-efbe7db8e98f_ActionId">
    <vt:lpwstr>96381036-b520-469c-8cbb-008ef72db3ed</vt:lpwstr>
  </property>
  <property fmtid="{D5CDD505-2E9C-101B-9397-08002B2CF9AE}" pid="8" name="MSIP_Label_5fac521f-e930-485b-97f4-efbe7db8e98f_ContentBits">
    <vt:lpwstr>0</vt:lpwstr>
  </property>
</Properties>
</file>
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ISA\Desktop\Nueva carpeta\"/>
    </mc:Choice>
  </mc:AlternateContent>
  <xr:revisionPtr revIDLastSave="0" documentId="13_ncr:1_{4A94506F-E652-4413-B534-3C2BB45DC2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2" i="1" l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L51" i="1" s="1"/>
  <c r="K31" i="1"/>
  <c r="K51" i="1" s="1"/>
  <c r="J31" i="1"/>
  <c r="J51" i="1" s="1"/>
  <c r="D23" i="1"/>
</calcChain>
</file>

<file path=xl/sharedStrings.xml><?xml version="1.0" encoding="utf-8"?>
<sst xmlns="http://schemas.openxmlformats.org/spreadsheetml/2006/main" count="118" uniqueCount="51">
  <si>
    <t>LOCALIDAD</t>
  </si>
  <si>
    <t>Luminarias de vapor de mercurio a baja presión</t>
  </si>
  <si>
    <t>Luminarias de Diodos Emisores de Luz</t>
  </si>
  <si>
    <t>Luminarias de vapor de halogenuros metálicos</t>
  </si>
  <si>
    <t>Luminarias de vapor de sodio alta presión</t>
  </si>
  <si>
    <t>TOTAL</t>
  </si>
  <si>
    <t>Porcentual luminarias LED localidad</t>
  </si>
  <si>
    <t>Fluorescentes</t>
  </si>
  <si>
    <t>LED</t>
  </si>
  <si>
    <t>Mh</t>
  </si>
  <si>
    <t>Na</t>
  </si>
  <si>
    <t>Antonio Nariño</t>
  </si>
  <si>
    <t>Barrios Unidos</t>
  </si>
  <si>
    <t>Bosa</t>
  </si>
  <si>
    <t>Chapinero</t>
  </si>
  <si>
    <t>Ciudad Bolívar</t>
  </si>
  <si>
    <t>Engativá</t>
  </si>
  <si>
    <t>Fontibón</t>
  </si>
  <si>
    <t>Kennedy</t>
  </si>
  <si>
    <t>La Candelaria</t>
  </si>
  <si>
    <t>Los Mártires</t>
  </si>
  <si>
    <t>Puente Aranda</t>
  </si>
  <si>
    <t>Rafael Uribe</t>
  </si>
  <si>
    <t>San Cristóbal</t>
  </si>
  <si>
    <t>Santa Fe</t>
  </si>
  <si>
    <t>Suba</t>
  </si>
  <si>
    <t>Sumapaz</t>
  </si>
  <si>
    <t>Teusaquillo</t>
  </si>
  <si>
    <t>Tunjuelito</t>
  </si>
  <si>
    <t>Usaquén</t>
  </si>
  <si>
    <t>Usme</t>
  </si>
  <si>
    <t>Totales ENEL</t>
  </si>
  <si>
    <t>Total</t>
  </si>
  <si>
    <t>Conteos:</t>
  </si>
  <si>
    <t>Porcentualmente:</t>
  </si>
  <si>
    <t>Tecnología</t>
  </si>
  <si>
    <t>Localidad</t>
  </si>
  <si>
    <t>Led</t>
  </si>
  <si>
    <t>Halogenuro</t>
  </si>
  <si>
    <t>Sodio</t>
  </si>
  <si>
    <t>Candelaria</t>
  </si>
  <si>
    <t>Mártires</t>
  </si>
  <si>
    <t xml:space="preserve">Usaquén </t>
  </si>
  <si>
    <t>Totales Propiedad Distrito</t>
  </si>
  <si>
    <t>34.99%</t>
  </si>
  <si>
    <t>29.28%</t>
  </si>
  <si>
    <t>35.72%</t>
  </si>
  <si>
    <t>Q2</t>
  </si>
  <si>
    <t>Total Bogotá</t>
  </si>
  <si>
    <t xml:space="preserve"> INVENTARIO LUMINARIAS </t>
  </si>
  <si>
    <t>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</si>
</sst>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i/>
      <sz val="8"/>
      <color rgb="FF000000"/>
      <name val="Arial"/>
      <family val="2"/>
    </font>
    <font>
      <sz val="10"/>
      <color theme="1"/>
      <name val="Times New Roman"/>
      <family val="1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rgb="FFD9D9D9"/>
      </right>
      <top style="medium">
        <color indexed="64"/>
      </top>
      <bottom/>
      <diagonal/>
    </border>
    <border>
      <left/>
      <right style="medium">
        <color rgb="FFD9D9D9"/>
      </right>
      <top style="medium">
        <color indexed="64"/>
      </top>
      <bottom style="medium">
        <color rgb="FFD9D9D9"/>
      </bottom>
      <diagonal/>
    </border>
    <border>
      <left style="medium">
        <color rgb="FFD9D9D9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D9D9D9"/>
      </right>
      <top/>
      <bottom style="medium">
        <color indexed="64"/>
      </bottom>
      <diagonal/>
    </border>
    <border>
      <left/>
      <right style="medium">
        <color rgb="FFD9D9D9"/>
      </right>
      <top/>
      <bottom style="medium">
        <color indexed="64"/>
      </bottom>
      <diagonal/>
    </border>
    <border>
      <left style="medium">
        <color rgb="FFD9D9D9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/>
      <right style="medium">
        <color indexed="64"/>
      </right>
      <top/>
      <bottom style="medium">
        <color rgb="FFD9D9D9"/>
      </bottom>
      <diagonal/>
    </border>
    <border>
      <left/>
      <right style="medium">
        <color indexed="64"/>
      </right>
      <top/>
      <bottom style="medium">
        <color rgb="FFE7E6E6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D9D9D9"/>
      </bottom>
      <diagonal/>
    </border>
    <border>
      <left/>
      <right style="medium">
        <color rgb="FFD9D9D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D9D9D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0" fontId="5" fillId="0" borderId="1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0" fontId="5" fillId="0" borderId="1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3" fontId="1" fillId="2" borderId="14" xfId="0" applyNumberFormat="1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0" fontId="4" fillId="0" borderId="14" xfId="0" applyNumberFormat="1" applyFont="1" applyBorder="1" applyAlignment="1">
      <alignment horizontal="center" vertical="center"/>
    </xf>
    <xf numFmtId="10" fontId="1" fillId="0" borderId="14" xfId="0" applyNumberFormat="1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6" fillId="0" borderId="19" xfId="0" applyFont="1" applyBorder="1" applyAlignment="1">
      <alignment horizontal="justify" vertical="center" wrapText="1"/>
    </xf>
    <xf numFmtId="0" fontId="6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vertical="top"/>
    </xf>
    <xf numFmtId="3" fontId="4" fillId="0" borderId="11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0" fontId="1" fillId="2" borderId="23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horizontal="center" vertical="center" wrapText="1"/>
    </xf>
    <xf numFmtId="3" fontId="0" fillId="0" borderId="0" xfId="0" applyNumberFormat="1"/>
    <xf numFmtId="0" fontId="1" fillId="0" borderId="19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5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INVENTARIO LUMINARIAS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[1]DICIEMBRE!$I$30</c:f>
              <c:strCache>
                <c:ptCount val="1"/>
                <c:pt idx="0">
                  <c:v>Fluorescentes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[1]DICIEMBRE!$H$31:$H$50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[1]DICIEMBRE!$I$31:$I$50</c:f>
              <c:numCache>
                <c:formatCode>General</c:formatCode>
                <c:ptCount val="20"/>
                <c:pt idx="1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A-4BC7-A21E-3F4B663EACE2}"/>
            </c:ext>
          </c:extLst>
        </c:ser>
        <c:ser>
          <c:idx val="1"/>
          <c:order val="1"/>
          <c:tx>
            <c:strRef>
              <c:f>[1]DICIEMBRE!$J$30</c:f>
              <c:strCache>
                <c:ptCount val="1"/>
                <c:pt idx="0">
                  <c:v>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[1]DICIEMBRE!$H$31:$H$50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[1]DICIEMBRE!$J$31:$J$50</c:f>
              <c:numCache>
                <c:formatCode>#,##0</c:formatCode>
                <c:ptCount val="20"/>
                <c:pt idx="0">
                  <c:v>5195</c:v>
                </c:pt>
                <c:pt idx="1">
                  <c:v>1881</c:v>
                </c:pt>
                <c:pt idx="2">
                  <c:v>18699</c:v>
                </c:pt>
                <c:pt idx="3">
                  <c:v>4099</c:v>
                </c:pt>
                <c:pt idx="4">
                  <c:v>10432</c:v>
                </c:pt>
                <c:pt idx="5">
                  <c:v>23628</c:v>
                </c:pt>
                <c:pt idx="6">
                  <c:v>9422</c:v>
                </c:pt>
                <c:pt idx="7">
                  <c:v>32057</c:v>
                </c:pt>
                <c:pt idx="8" formatCode="General">
                  <c:v>538</c:v>
                </c:pt>
                <c:pt idx="9">
                  <c:v>1588</c:v>
                </c:pt>
                <c:pt idx="10">
                  <c:v>13654</c:v>
                </c:pt>
                <c:pt idx="11">
                  <c:v>15107</c:v>
                </c:pt>
                <c:pt idx="12">
                  <c:v>13787</c:v>
                </c:pt>
                <c:pt idx="13">
                  <c:v>2374</c:v>
                </c:pt>
                <c:pt idx="14">
                  <c:v>3177</c:v>
                </c:pt>
                <c:pt idx="15" formatCode="General">
                  <c:v>59</c:v>
                </c:pt>
                <c:pt idx="16">
                  <c:v>3550</c:v>
                </c:pt>
                <c:pt idx="17" formatCode="General">
                  <c:v>577</c:v>
                </c:pt>
                <c:pt idx="18">
                  <c:v>15507</c:v>
                </c:pt>
                <c:pt idx="19">
                  <c:v>13323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A-4BC7-A21E-3F4B663EACE2}"/>
            </c:ext>
          </c:extLst>
        </c:ser>
        <c:ser>
          <c:idx val="2"/>
          <c:order val="2"/>
          <c:tx>
            <c:strRef>
              <c:f>[1]DICIEMBRE!$K$30</c:f>
              <c:strCache>
                <c:ptCount val="1"/>
                <c:pt idx="0">
                  <c:v>Mh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[1]DICIEMBRE!$H$31:$H$50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[1]DICIEMBRE!$K$31:$K$50</c:f>
              <c:numCache>
                <c:formatCode>#,##0</c:formatCode>
                <c:ptCount val="20"/>
                <c:pt idx="0" formatCode="General">
                  <c:v>395</c:v>
                </c:pt>
                <c:pt idx="1">
                  <c:v>8618</c:v>
                </c:pt>
                <c:pt idx="2">
                  <c:v>1576</c:v>
                </c:pt>
                <c:pt idx="3">
                  <c:v>8111</c:v>
                </c:pt>
                <c:pt idx="4">
                  <c:v>5525</c:v>
                </c:pt>
                <c:pt idx="5">
                  <c:v>6872</c:v>
                </c:pt>
                <c:pt idx="6">
                  <c:v>4597</c:v>
                </c:pt>
                <c:pt idx="7">
                  <c:v>3419</c:v>
                </c:pt>
                <c:pt idx="8">
                  <c:v>1694</c:v>
                </c:pt>
                <c:pt idx="9">
                  <c:v>4881</c:v>
                </c:pt>
                <c:pt idx="10">
                  <c:v>1936</c:v>
                </c:pt>
                <c:pt idx="11" formatCode="General">
                  <c:v>790</c:v>
                </c:pt>
                <c:pt idx="12">
                  <c:v>2206</c:v>
                </c:pt>
                <c:pt idx="13">
                  <c:v>4807</c:v>
                </c:pt>
                <c:pt idx="14">
                  <c:v>33501</c:v>
                </c:pt>
                <c:pt idx="15" formatCode="General">
                  <c:v>188</c:v>
                </c:pt>
                <c:pt idx="16">
                  <c:v>8280</c:v>
                </c:pt>
                <c:pt idx="17">
                  <c:v>5760</c:v>
                </c:pt>
                <c:pt idx="18">
                  <c:v>4203</c:v>
                </c:pt>
                <c:pt idx="19">
                  <c:v>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3A-4BC7-A21E-3F4B663EACE2}"/>
            </c:ext>
          </c:extLst>
        </c:ser>
        <c:ser>
          <c:idx val="3"/>
          <c:order val="3"/>
          <c:tx>
            <c:strRef>
              <c:f>[1]DICIEMBRE!$L$30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[1]DICIEMBRE!$H$31:$H$50</c:f>
              <c:strCache>
                <c:ptCount val="20"/>
                <c:pt idx="0">
                  <c:v>Antonio Nariño</c:v>
                </c:pt>
                <c:pt idx="1">
                  <c:v>Barrios Unidos</c:v>
                </c:pt>
                <c:pt idx="2">
                  <c:v>Bosa</c:v>
                </c:pt>
                <c:pt idx="3">
                  <c:v>Chapinero</c:v>
                </c:pt>
                <c:pt idx="4">
                  <c:v>Ciudad Bolívar</c:v>
                </c:pt>
                <c:pt idx="5">
                  <c:v>Engativá</c:v>
                </c:pt>
                <c:pt idx="6">
                  <c:v>Fontibón</c:v>
                </c:pt>
                <c:pt idx="7">
                  <c:v>Kennedy</c:v>
                </c:pt>
                <c:pt idx="8">
                  <c:v>La Candelaria</c:v>
                </c:pt>
                <c:pt idx="9">
                  <c:v>Los Mártires</c:v>
                </c:pt>
                <c:pt idx="10">
                  <c:v>Puente Aranda</c:v>
                </c:pt>
                <c:pt idx="11">
                  <c:v>Rafael Uribe</c:v>
                </c:pt>
                <c:pt idx="12">
                  <c:v>San Cristóbal</c:v>
                </c:pt>
                <c:pt idx="13">
                  <c:v>Santa Fe</c:v>
                </c:pt>
                <c:pt idx="14">
                  <c:v>Suba</c:v>
                </c:pt>
                <c:pt idx="15">
                  <c:v>Sumapaz</c:v>
                </c:pt>
                <c:pt idx="16">
                  <c:v>Teusaquillo</c:v>
                </c:pt>
                <c:pt idx="17">
                  <c:v>Tunjuelito</c:v>
                </c:pt>
                <c:pt idx="18">
                  <c:v>Usaquén</c:v>
                </c:pt>
                <c:pt idx="19">
                  <c:v>Usme</c:v>
                </c:pt>
              </c:strCache>
            </c:strRef>
          </c:cat>
          <c:val>
            <c:numRef>
              <c:f>[1]DICIEMBRE!$L$31:$L$50</c:f>
              <c:numCache>
                <c:formatCode>#,##0</c:formatCode>
                <c:ptCount val="20"/>
                <c:pt idx="0" formatCode="General">
                  <c:v>107</c:v>
                </c:pt>
                <c:pt idx="1">
                  <c:v>1378</c:v>
                </c:pt>
                <c:pt idx="2">
                  <c:v>2381</c:v>
                </c:pt>
                <c:pt idx="3">
                  <c:v>1323</c:v>
                </c:pt>
                <c:pt idx="4">
                  <c:v>11948</c:v>
                </c:pt>
                <c:pt idx="5">
                  <c:v>6562</c:v>
                </c:pt>
                <c:pt idx="6">
                  <c:v>4194</c:v>
                </c:pt>
                <c:pt idx="7">
                  <c:v>5102</c:v>
                </c:pt>
                <c:pt idx="8" formatCode="General">
                  <c:v>823</c:v>
                </c:pt>
                <c:pt idx="9" formatCode="General">
                  <c:v>824</c:v>
                </c:pt>
                <c:pt idx="10">
                  <c:v>3494</c:v>
                </c:pt>
                <c:pt idx="11" formatCode="General">
                  <c:v>718</c:v>
                </c:pt>
                <c:pt idx="12">
                  <c:v>2306</c:v>
                </c:pt>
                <c:pt idx="13">
                  <c:v>2131</c:v>
                </c:pt>
                <c:pt idx="14">
                  <c:v>7414</c:v>
                </c:pt>
                <c:pt idx="15" formatCode="General">
                  <c:v>18</c:v>
                </c:pt>
                <c:pt idx="16">
                  <c:v>2814</c:v>
                </c:pt>
                <c:pt idx="17" formatCode="General">
                  <c:v>807</c:v>
                </c:pt>
                <c:pt idx="18">
                  <c:v>6642</c:v>
                </c:pt>
                <c:pt idx="19">
                  <c:v>2556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3A-4BC7-A21E-3F4B663EA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0901360"/>
        <c:axId val="753234528"/>
      </c:barChart>
      <c:catAx>
        <c:axId val="78090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3234528"/>
        <c:crosses val="autoZero"/>
        <c:auto val="1"/>
        <c:lblAlgn val="ctr"/>
        <c:lblOffset val="100"/>
        <c:noMultiLvlLbl val="0"/>
      </c:catAx>
      <c:valAx>
        <c:axId val="75323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8090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52</xdr:row>
      <xdr:rowOff>9524</xdr:rowOff>
    </xdr:from>
    <xdr:to>
      <xdr:col>18</xdr:col>
      <xdr:colOff>152399</xdr:colOff>
      <xdr:row>72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1EA906-1236-4607-8B61-6BDDECCA1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0224000037463_00006_ximenalozano_165825004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IO"/>
      <sheetName val="JULIO"/>
      <sheetName val="AGOSTO"/>
      <sheetName val="SEPTIEMBRE"/>
      <sheetName val="OCTUBRE"/>
      <sheetName val="NOVIEMBRE"/>
      <sheetName val="DICIEMBRE"/>
      <sheetName val="Análisis"/>
      <sheetName val="ENERO 2022"/>
      <sheetName val="FEBRERO 2022"/>
      <sheetName val="MARZO 2022"/>
      <sheetName val="ABRIL 2022"/>
    </sheetNames>
    <sheetDataSet>
      <sheetData sheetId="0"/>
      <sheetData sheetId="1"/>
      <sheetData sheetId="2"/>
      <sheetData sheetId="3"/>
      <sheetData sheetId="4"/>
      <sheetData sheetId="5"/>
      <sheetData sheetId="6">
        <row r="30">
          <cell r="I30" t="str">
            <v>Fluorescentes</v>
          </cell>
          <cell r="J30" t="str">
            <v>LED</v>
          </cell>
          <cell r="K30" t="str">
            <v>Mh</v>
          </cell>
          <cell r="L30" t="str">
            <v>Na</v>
          </cell>
        </row>
        <row r="31">
          <cell r="H31" t="str">
            <v>Antonio Nariño</v>
          </cell>
          <cell r="J31">
            <v>5195</v>
          </cell>
          <cell r="K31">
            <v>395</v>
          </cell>
          <cell r="L31">
            <v>107</v>
          </cell>
        </row>
        <row r="32">
          <cell r="H32" t="str">
            <v>Barrios Unidos</v>
          </cell>
          <cell r="J32">
            <v>1881</v>
          </cell>
          <cell r="K32">
            <v>8618</v>
          </cell>
          <cell r="L32">
            <v>1378</v>
          </cell>
        </row>
        <row r="33">
          <cell r="H33" t="str">
            <v>Bosa</v>
          </cell>
          <cell r="J33">
            <v>18699</v>
          </cell>
          <cell r="K33">
            <v>1576</v>
          </cell>
          <cell r="L33">
            <v>2381</v>
          </cell>
        </row>
        <row r="34">
          <cell r="H34" t="str">
            <v>Chapinero</v>
          </cell>
          <cell r="J34">
            <v>4099</v>
          </cell>
          <cell r="K34">
            <v>8111</v>
          </cell>
          <cell r="L34">
            <v>1323</v>
          </cell>
        </row>
        <row r="35">
          <cell r="H35" t="str">
            <v>Ciudad Bolívar</v>
          </cell>
          <cell r="J35">
            <v>10432</v>
          </cell>
          <cell r="K35">
            <v>5525</v>
          </cell>
          <cell r="L35">
            <v>11948</v>
          </cell>
        </row>
        <row r="36">
          <cell r="H36" t="str">
            <v>Engativá</v>
          </cell>
          <cell r="J36">
            <v>23628</v>
          </cell>
          <cell r="K36">
            <v>6872</v>
          </cell>
          <cell r="L36">
            <v>6562</v>
          </cell>
        </row>
        <row r="37">
          <cell r="H37" t="str">
            <v>Fontibón</v>
          </cell>
          <cell r="J37">
            <v>9422</v>
          </cell>
          <cell r="K37">
            <v>4597</v>
          </cell>
          <cell r="L37">
            <v>4194</v>
          </cell>
        </row>
        <row r="38">
          <cell r="H38" t="str">
            <v>Kennedy</v>
          </cell>
          <cell r="J38">
            <v>32057</v>
          </cell>
          <cell r="K38">
            <v>3419</v>
          </cell>
          <cell r="L38">
            <v>5102</v>
          </cell>
        </row>
        <row r="39">
          <cell r="H39" t="str">
            <v>La Candelaria</v>
          </cell>
          <cell r="J39">
            <v>538</v>
          </cell>
          <cell r="K39">
            <v>1694</v>
          </cell>
          <cell r="L39">
            <v>823</v>
          </cell>
        </row>
        <row r="40">
          <cell r="H40" t="str">
            <v>Los Mártires</v>
          </cell>
          <cell r="J40">
            <v>1588</v>
          </cell>
          <cell r="K40">
            <v>4881</v>
          </cell>
          <cell r="L40">
            <v>824</v>
          </cell>
        </row>
        <row r="41">
          <cell r="H41" t="str">
            <v>Puente Aranda</v>
          </cell>
          <cell r="J41">
            <v>13654</v>
          </cell>
          <cell r="K41">
            <v>1936</v>
          </cell>
          <cell r="L41">
            <v>3494</v>
          </cell>
        </row>
        <row r="42">
          <cell r="H42" t="str">
            <v>Rafael Uribe</v>
          </cell>
          <cell r="J42">
            <v>15107</v>
          </cell>
          <cell r="K42">
            <v>790</v>
          </cell>
          <cell r="L42">
            <v>718</v>
          </cell>
        </row>
        <row r="43">
          <cell r="H43" t="str">
            <v>San Cristóbal</v>
          </cell>
          <cell r="J43">
            <v>13787</v>
          </cell>
          <cell r="K43">
            <v>2206</v>
          </cell>
          <cell r="L43">
            <v>2306</v>
          </cell>
        </row>
        <row r="44">
          <cell r="H44" t="str">
            <v>Santa Fe</v>
          </cell>
          <cell r="I44">
            <v>18</v>
          </cell>
          <cell r="J44">
            <v>2374</v>
          </cell>
          <cell r="K44">
            <v>4807</v>
          </cell>
          <cell r="L44">
            <v>2131</v>
          </cell>
        </row>
        <row r="45">
          <cell r="H45" t="str">
            <v>Suba</v>
          </cell>
          <cell r="J45">
            <v>3177</v>
          </cell>
          <cell r="K45">
            <v>33501</v>
          </cell>
          <cell r="L45">
            <v>7414</v>
          </cell>
        </row>
        <row r="46">
          <cell r="H46" t="str">
            <v>Sumapaz</v>
          </cell>
          <cell r="J46">
            <v>59</v>
          </cell>
          <cell r="K46">
            <v>188</v>
          </cell>
          <cell r="L46">
            <v>18</v>
          </cell>
        </row>
        <row r="47">
          <cell r="H47" t="str">
            <v>Teusaquillo</v>
          </cell>
          <cell r="J47">
            <v>3550</v>
          </cell>
          <cell r="K47">
            <v>8280</v>
          </cell>
          <cell r="L47">
            <v>2814</v>
          </cell>
        </row>
        <row r="48">
          <cell r="H48" t="str">
            <v>Tunjuelito</v>
          </cell>
          <cell r="J48">
            <v>577</v>
          </cell>
          <cell r="K48">
            <v>5760</v>
          </cell>
          <cell r="L48">
            <v>807</v>
          </cell>
        </row>
        <row r="49">
          <cell r="H49" t="str">
            <v>Usaquén</v>
          </cell>
          <cell r="J49">
            <v>15507</v>
          </cell>
          <cell r="K49">
            <v>4203</v>
          </cell>
          <cell r="L49">
            <v>6642</v>
          </cell>
        </row>
        <row r="50">
          <cell r="H50" t="str">
            <v>Usme</v>
          </cell>
          <cell r="J50">
            <v>13323</v>
          </cell>
          <cell r="K50">
            <v>1506</v>
          </cell>
          <cell r="L50">
            <v>2556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"/>
  <sheetViews>
    <sheetView tabSelected="1" workbookViewId="0">
      <selection activeCell="Q50" sqref="Q50"/>
    </sheetView>
  </sheetViews>
  <sheetFormatPr baseColWidth="10" defaultColWidth="9.140625" defaultRowHeight="15" x14ac:dyDescent="0.25"/>
  <sheetData>
    <row r="1" spans="1:8" ht="68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5" t="s">
        <v>6</v>
      </c>
    </row>
    <row r="2" spans="1:8" ht="23.25" thickBot="1" x14ac:dyDescent="0.3">
      <c r="A2" s="6"/>
      <c r="B2" s="7" t="s">
        <v>7</v>
      </c>
      <c r="C2" s="7" t="s">
        <v>8</v>
      </c>
      <c r="D2" s="7" t="s">
        <v>9</v>
      </c>
      <c r="E2" s="7" t="s">
        <v>10</v>
      </c>
      <c r="F2" s="8"/>
      <c r="G2" s="4"/>
      <c r="H2" s="9"/>
    </row>
    <row r="3" spans="1:8" ht="23.25" thickBot="1" x14ac:dyDescent="0.3">
      <c r="A3" s="10" t="s">
        <v>11</v>
      </c>
      <c r="B3" s="11"/>
      <c r="C3" s="11">
        <v>5188</v>
      </c>
      <c r="D3" s="11">
        <v>395</v>
      </c>
      <c r="E3" s="11">
        <v>107</v>
      </c>
      <c r="F3" s="12">
        <v>5690</v>
      </c>
      <c r="G3" s="4"/>
      <c r="H3" s="13">
        <v>0.91180000000000005</v>
      </c>
    </row>
    <row r="4" spans="1:8" ht="23.25" thickBot="1" x14ac:dyDescent="0.3">
      <c r="A4" s="10" t="s">
        <v>12</v>
      </c>
      <c r="B4" s="11"/>
      <c r="C4" s="11">
        <v>1859</v>
      </c>
      <c r="D4" s="11">
        <v>8618</v>
      </c>
      <c r="E4" s="11">
        <v>1331</v>
      </c>
      <c r="F4" s="12">
        <v>11808</v>
      </c>
      <c r="G4" s="4"/>
      <c r="H4" s="13">
        <v>0.15740000000000001</v>
      </c>
    </row>
    <row r="5" spans="1:8" ht="15.75" thickBot="1" x14ac:dyDescent="0.3">
      <c r="A5" s="10" t="s">
        <v>13</v>
      </c>
      <c r="B5" s="11"/>
      <c r="C5" s="11">
        <v>18643</v>
      </c>
      <c r="D5" s="11">
        <v>1380</v>
      </c>
      <c r="E5" s="11">
        <v>2098</v>
      </c>
      <c r="F5" s="12">
        <v>22121</v>
      </c>
      <c r="G5" s="4"/>
      <c r="H5" s="13">
        <v>0.84279999999999999</v>
      </c>
    </row>
    <row r="6" spans="1:8" ht="15.75" thickBot="1" x14ac:dyDescent="0.3">
      <c r="A6" s="10" t="s">
        <v>14</v>
      </c>
      <c r="B6" s="14"/>
      <c r="C6" s="11">
        <v>4000</v>
      </c>
      <c r="D6" s="11">
        <v>8111</v>
      </c>
      <c r="E6" s="11">
        <v>1322</v>
      </c>
      <c r="F6" s="12">
        <v>13433</v>
      </c>
      <c r="G6" s="4"/>
      <c r="H6" s="13">
        <v>0.29780000000000001</v>
      </c>
    </row>
    <row r="7" spans="1:8" ht="23.25" thickBot="1" x14ac:dyDescent="0.3">
      <c r="A7" s="10" t="s">
        <v>15</v>
      </c>
      <c r="B7" s="14"/>
      <c r="C7" s="11">
        <v>10057</v>
      </c>
      <c r="D7" s="11">
        <v>5418</v>
      </c>
      <c r="E7" s="11">
        <v>11868</v>
      </c>
      <c r="F7" s="12">
        <v>27343</v>
      </c>
      <c r="G7" s="4"/>
      <c r="H7" s="13">
        <v>0.36780000000000002</v>
      </c>
    </row>
    <row r="8" spans="1:8" ht="15.75" thickBot="1" x14ac:dyDescent="0.3">
      <c r="A8" s="10" t="s">
        <v>16</v>
      </c>
      <c r="B8" s="14"/>
      <c r="C8" s="11">
        <v>23235</v>
      </c>
      <c r="D8" s="11">
        <v>6854</v>
      </c>
      <c r="E8" s="11">
        <v>6371</v>
      </c>
      <c r="F8" s="12">
        <v>36460</v>
      </c>
      <c r="G8" s="4"/>
      <c r="H8" s="13">
        <v>0.63729999999999998</v>
      </c>
    </row>
    <row r="9" spans="1:8" ht="15.75" thickBot="1" x14ac:dyDescent="0.3">
      <c r="A9" s="10" t="s">
        <v>17</v>
      </c>
      <c r="B9" s="14"/>
      <c r="C9" s="11">
        <v>9384</v>
      </c>
      <c r="D9" s="11">
        <v>4428</v>
      </c>
      <c r="E9" s="11">
        <v>3968</v>
      </c>
      <c r="F9" s="12">
        <v>17780</v>
      </c>
      <c r="G9" s="4"/>
      <c r="H9" s="13">
        <v>0.52780000000000005</v>
      </c>
    </row>
    <row r="10" spans="1:8" ht="15.75" thickBot="1" x14ac:dyDescent="0.3">
      <c r="A10" s="10" t="s">
        <v>18</v>
      </c>
      <c r="B10" s="14"/>
      <c r="C10" s="11">
        <v>31991</v>
      </c>
      <c r="D10" s="11">
        <v>3201</v>
      </c>
      <c r="E10" s="11">
        <v>4913</v>
      </c>
      <c r="F10" s="12">
        <v>40105</v>
      </c>
      <c r="G10" s="4"/>
      <c r="H10" s="13">
        <v>0.79769999999999996</v>
      </c>
    </row>
    <row r="11" spans="1:8" ht="23.25" thickBot="1" x14ac:dyDescent="0.3">
      <c r="A11" s="10" t="s">
        <v>19</v>
      </c>
      <c r="B11" s="14"/>
      <c r="C11" s="11">
        <v>470</v>
      </c>
      <c r="D11" s="11">
        <v>1694</v>
      </c>
      <c r="E11" s="11">
        <v>823</v>
      </c>
      <c r="F11" s="12">
        <v>2987</v>
      </c>
      <c r="G11" s="4"/>
      <c r="H11" s="13">
        <v>0.1573</v>
      </c>
    </row>
    <row r="12" spans="1:8" ht="23.25" thickBot="1" x14ac:dyDescent="0.3">
      <c r="A12" s="10" t="s">
        <v>20</v>
      </c>
      <c r="B12" s="14"/>
      <c r="C12" s="11">
        <v>1572</v>
      </c>
      <c r="D12" s="11">
        <v>4881</v>
      </c>
      <c r="E12" s="11">
        <v>824</v>
      </c>
      <c r="F12" s="12">
        <v>7277</v>
      </c>
      <c r="G12" s="4"/>
      <c r="H12" s="13">
        <v>0.216</v>
      </c>
    </row>
    <row r="13" spans="1:8" ht="23.25" thickBot="1" x14ac:dyDescent="0.3">
      <c r="A13" s="10" t="s">
        <v>21</v>
      </c>
      <c r="B13" s="14"/>
      <c r="C13" s="11">
        <v>13650</v>
      </c>
      <c r="D13" s="11">
        <v>1889</v>
      </c>
      <c r="E13" s="11">
        <v>3454</v>
      </c>
      <c r="F13" s="12">
        <v>18993</v>
      </c>
      <c r="G13" s="4"/>
      <c r="H13" s="13">
        <v>0.71870000000000001</v>
      </c>
    </row>
    <row r="14" spans="1:8" ht="23.25" thickBot="1" x14ac:dyDescent="0.3">
      <c r="A14" s="10" t="s">
        <v>22</v>
      </c>
      <c r="B14" s="14"/>
      <c r="C14" s="11">
        <v>15083</v>
      </c>
      <c r="D14" s="11">
        <v>779</v>
      </c>
      <c r="E14" s="11">
        <v>657</v>
      </c>
      <c r="F14" s="12">
        <v>16519</v>
      </c>
      <c r="G14" s="4"/>
      <c r="H14" s="13">
        <v>0.91310000000000002</v>
      </c>
    </row>
    <row r="15" spans="1:8" ht="23.25" thickBot="1" x14ac:dyDescent="0.3">
      <c r="A15" s="10" t="s">
        <v>23</v>
      </c>
      <c r="B15" s="11"/>
      <c r="C15" s="11">
        <v>13770</v>
      </c>
      <c r="D15" s="11">
        <v>2139</v>
      </c>
      <c r="E15" s="11">
        <v>2298</v>
      </c>
      <c r="F15" s="12">
        <v>18207</v>
      </c>
      <c r="G15" s="4"/>
      <c r="H15" s="13">
        <v>0.75629999999999997</v>
      </c>
    </row>
    <row r="16" spans="1:8" ht="15.75" thickBot="1" x14ac:dyDescent="0.3">
      <c r="A16" s="10" t="s">
        <v>24</v>
      </c>
      <c r="B16" s="11">
        <v>18</v>
      </c>
      <c r="C16" s="11">
        <v>2366</v>
      </c>
      <c r="D16" s="11">
        <v>4807</v>
      </c>
      <c r="E16" s="11">
        <v>2131</v>
      </c>
      <c r="F16" s="12">
        <v>9322</v>
      </c>
      <c r="G16" s="4"/>
      <c r="H16" s="13">
        <v>0.25380000000000003</v>
      </c>
    </row>
    <row r="17" spans="1:12" ht="15.75" thickBot="1" x14ac:dyDescent="0.3">
      <c r="A17" s="10" t="s">
        <v>25</v>
      </c>
      <c r="B17" s="11"/>
      <c r="C17" s="11">
        <v>2787</v>
      </c>
      <c r="D17" s="11">
        <v>32901</v>
      </c>
      <c r="E17" s="11">
        <v>6966</v>
      </c>
      <c r="F17" s="12">
        <v>42654</v>
      </c>
      <c r="G17" s="4"/>
      <c r="H17" s="13">
        <v>6.5299999999999997E-2</v>
      </c>
    </row>
    <row r="18" spans="1:12" ht="15.75" thickBot="1" x14ac:dyDescent="0.3">
      <c r="A18" s="10" t="s">
        <v>26</v>
      </c>
      <c r="B18" s="11"/>
      <c r="C18" s="11">
        <v>59</v>
      </c>
      <c r="D18" s="11">
        <v>188</v>
      </c>
      <c r="E18" s="11">
        <v>18</v>
      </c>
      <c r="F18" s="12">
        <v>265</v>
      </c>
      <c r="G18" s="4"/>
      <c r="H18" s="13">
        <v>0.22259999999999999</v>
      </c>
    </row>
    <row r="19" spans="1:12" ht="15.75" thickBot="1" x14ac:dyDescent="0.3">
      <c r="A19" s="10" t="s">
        <v>27</v>
      </c>
      <c r="B19" s="11"/>
      <c r="C19" s="11">
        <v>3550</v>
      </c>
      <c r="D19" s="11">
        <v>8255</v>
      </c>
      <c r="E19" s="11">
        <v>2671</v>
      </c>
      <c r="F19" s="12">
        <v>14476</v>
      </c>
      <c r="G19" s="4"/>
      <c r="H19" s="13">
        <v>0.2452</v>
      </c>
    </row>
    <row r="20" spans="1:12" ht="15.75" thickBot="1" x14ac:dyDescent="0.3">
      <c r="A20" s="10" t="s">
        <v>28</v>
      </c>
      <c r="B20" s="11"/>
      <c r="C20" s="11">
        <v>534</v>
      </c>
      <c r="D20" s="11">
        <v>5760</v>
      </c>
      <c r="E20" s="11">
        <v>807</v>
      </c>
      <c r="F20" s="12">
        <v>7101</v>
      </c>
      <c r="G20" s="4"/>
      <c r="H20" s="13">
        <v>7.5200000000000003E-2</v>
      </c>
    </row>
    <row r="21" spans="1:12" ht="15.75" thickBot="1" x14ac:dyDescent="0.3">
      <c r="A21" s="10" t="s">
        <v>29</v>
      </c>
      <c r="B21" s="11"/>
      <c r="C21" s="11">
        <v>15425</v>
      </c>
      <c r="D21" s="11">
        <v>4188</v>
      </c>
      <c r="E21" s="11">
        <v>6546</v>
      </c>
      <c r="F21" s="12">
        <v>26159</v>
      </c>
      <c r="G21" s="15"/>
      <c r="H21" s="13">
        <v>0.5897</v>
      </c>
    </row>
    <row r="22" spans="1:12" ht="15.75" thickBot="1" x14ac:dyDescent="0.3">
      <c r="A22" s="16" t="s">
        <v>30</v>
      </c>
      <c r="B22" s="17"/>
      <c r="C22" s="17">
        <v>13248</v>
      </c>
      <c r="D22" s="17">
        <v>1487</v>
      </c>
      <c r="E22" s="17">
        <v>2549</v>
      </c>
      <c r="F22" s="18">
        <v>17284</v>
      </c>
      <c r="G22" s="4"/>
      <c r="H22" s="19">
        <v>0.76649999999999996</v>
      </c>
    </row>
    <row r="23" spans="1:12" ht="15.75" thickBot="1" x14ac:dyDescent="0.3">
      <c r="A23" s="20"/>
      <c r="B23" s="21"/>
      <c r="C23" s="22"/>
      <c r="D23" s="21">
        <f>SUM(D3:D22)</f>
        <v>107373</v>
      </c>
      <c r="E23" s="21"/>
      <c r="F23" s="21"/>
      <c r="G23" s="21"/>
      <c r="H23" s="20"/>
    </row>
    <row r="24" spans="1:12" ht="23.25" thickBot="1" x14ac:dyDescent="0.3">
      <c r="A24" s="23" t="s">
        <v>31</v>
      </c>
      <c r="B24" s="24" t="s">
        <v>7</v>
      </c>
      <c r="C24" s="24" t="s">
        <v>8</v>
      </c>
      <c r="D24" s="24" t="s">
        <v>9</v>
      </c>
      <c r="E24" s="25" t="s">
        <v>10</v>
      </c>
      <c r="F24" s="25" t="s">
        <v>32</v>
      </c>
      <c r="G24" s="21"/>
      <c r="H24" s="20"/>
    </row>
    <row r="25" spans="1:12" ht="15.75" thickBot="1" x14ac:dyDescent="0.3">
      <c r="A25" s="26" t="s">
        <v>33</v>
      </c>
      <c r="B25" s="27">
        <v>18</v>
      </c>
      <c r="C25" s="28">
        <v>186871</v>
      </c>
      <c r="D25" s="28">
        <v>107373</v>
      </c>
      <c r="E25" s="28">
        <v>61722</v>
      </c>
      <c r="F25" s="28">
        <v>355984</v>
      </c>
      <c r="G25" s="21"/>
      <c r="H25" s="20"/>
    </row>
    <row r="26" spans="1:12" ht="23.25" thickBot="1" x14ac:dyDescent="0.3">
      <c r="A26" s="29" t="s">
        <v>34</v>
      </c>
      <c r="B26" s="30">
        <v>5.0000000000000002E-5</v>
      </c>
      <c r="C26" s="31">
        <v>0.52490000000000003</v>
      </c>
      <c r="D26" s="30">
        <v>0.30159999999999998</v>
      </c>
      <c r="E26" s="30">
        <v>0.1734</v>
      </c>
      <c r="F26" s="20"/>
      <c r="G26" s="21"/>
      <c r="H26" s="20"/>
    </row>
    <row r="28" spans="1:12" ht="15.75" thickBot="1" x14ac:dyDescent="0.3"/>
    <row r="29" spans="1:12" ht="68.25" thickBot="1" x14ac:dyDescent="0.3">
      <c r="A29" s="32"/>
      <c r="B29" s="33" t="s">
        <v>35</v>
      </c>
      <c r="C29" s="34"/>
      <c r="D29" s="34"/>
      <c r="E29" s="35"/>
      <c r="I29" s="2" t="s">
        <v>1</v>
      </c>
      <c r="J29" s="2" t="s">
        <v>2</v>
      </c>
      <c r="K29" s="2" t="s">
        <v>3</v>
      </c>
      <c r="L29" s="2" t="s">
        <v>4</v>
      </c>
    </row>
    <row r="30" spans="1:12" ht="23.25" thickBot="1" x14ac:dyDescent="0.3">
      <c r="A30" s="36" t="s">
        <v>36</v>
      </c>
      <c r="B30" s="37" t="s">
        <v>37</v>
      </c>
      <c r="C30" s="37" t="s">
        <v>38</v>
      </c>
      <c r="D30" s="37" t="s">
        <v>39</v>
      </c>
      <c r="E30" s="37" t="s">
        <v>32</v>
      </c>
      <c r="H30" s="38" t="s">
        <v>0</v>
      </c>
      <c r="I30" s="7" t="s">
        <v>7</v>
      </c>
      <c r="J30" s="7" t="s">
        <v>8</v>
      </c>
      <c r="K30" s="7" t="s">
        <v>9</v>
      </c>
      <c r="L30" s="7" t="s">
        <v>10</v>
      </c>
    </row>
    <row r="31" spans="1:12" ht="23.25" thickBot="1" x14ac:dyDescent="0.3">
      <c r="A31" s="39" t="s">
        <v>11</v>
      </c>
      <c r="B31" s="40">
        <v>7</v>
      </c>
      <c r="C31" s="41"/>
      <c r="D31" s="41"/>
      <c r="E31" s="40">
        <v>7</v>
      </c>
      <c r="H31" s="14" t="s">
        <v>11</v>
      </c>
      <c r="I31" s="11"/>
      <c r="J31" s="42">
        <f>C3+B31</f>
        <v>5195</v>
      </c>
      <c r="K31" s="11">
        <f>D3</f>
        <v>395</v>
      </c>
      <c r="L31" s="11">
        <f>E3</f>
        <v>107</v>
      </c>
    </row>
    <row r="32" spans="1:12" ht="23.25" thickBot="1" x14ac:dyDescent="0.3">
      <c r="A32" s="39" t="s">
        <v>12</v>
      </c>
      <c r="B32" s="40">
        <v>22</v>
      </c>
      <c r="C32" s="41"/>
      <c r="D32" s="40">
        <v>47</v>
      </c>
      <c r="E32" s="40">
        <v>69</v>
      </c>
      <c r="H32" s="14" t="s">
        <v>12</v>
      </c>
      <c r="I32" s="11"/>
      <c r="J32" s="42">
        <f>C4+B32</f>
        <v>1881</v>
      </c>
      <c r="K32" s="42">
        <f>D4</f>
        <v>8618</v>
      </c>
      <c r="L32" s="42">
        <f>E4+D32</f>
        <v>1378</v>
      </c>
    </row>
    <row r="33" spans="1:12" ht="15.75" thickBot="1" x14ac:dyDescent="0.3">
      <c r="A33" s="39" t="s">
        <v>13</v>
      </c>
      <c r="B33" s="40">
        <v>56</v>
      </c>
      <c r="C33" s="40">
        <v>196</v>
      </c>
      <c r="D33" s="40">
        <v>283</v>
      </c>
      <c r="E33" s="40">
        <v>535</v>
      </c>
      <c r="H33" s="14" t="s">
        <v>13</v>
      </c>
      <c r="I33" s="11"/>
      <c r="J33" s="42">
        <f>C5+B33</f>
        <v>18699</v>
      </c>
      <c r="K33" s="42">
        <f>D5+C33</f>
        <v>1576</v>
      </c>
      <c r="L33" s="42">
        <f>E5+D33</f>
        <v>2381</v>
      </c>
    </row>
    <row r="34" spans="1:12" ht="23.25" thickBot="1" x14ac:dyDescent="0.3">
      <c r="A34" s="39" t="s">
        <v>15</v>
      </c>
      <c r="B34" s="40">
        <v>375</v>
      </c>
      <c r="C34" s="40">
        <v>107</v>
      </c>
      <c r="D34" s="40">
        <v>80</v>
      </c>
      <c r="E34" s="40">
        <v>562</v>
      </c>
      <c r="H34" s="14" t="s">
        <v>14</v>
      </c>
      <c r="I34" s="14"/>
      <c r="J34" s="42">
        <f>C6+B36</f>
        <v>4099</v>
      </c>
      <c r="K34" s="42">
        <f>D6</f>
        <v>8111</v>
      </c>
      <c r="L34" s="42">
        <f>E6+D36</f>
        <v>1323</v>
      </c>
    </row>
    <row r="35" spans="1:12" ht="23.25" thickBot="1" x14ac:dyDescent="0.3">
      <c r="A35" s="39" t="s">
        <v>40</v>
      </c>
      <c r="B35" s="40">
        <v>68</v>
      </c>
      <c r="C35" s="40"/>
      <c r="D35" s="40"/>
      <c r="E35" s="40">
        <v>68</v>
      </c>
      <c r="H35" s="14" t="s">
        <v>15</v>
      </c>
      <c r="I35" s="14"/>
      <c r="J35" s="42">
        <f>C7+B34</f>
        <v>10432</v>
      </c>
      <c r="K35" s="42">
        <f>D7+C34</f>
        <v>5525</v>
      </c>
      <c r="L35" s="42">
        <f>E7+D34</f>
        <v>11948</v>
      </c>
    </row>
    <row r="36" spans="1:12" ht="15.75" thickBot="1" x14ac:dyDescent="0.3">
      <c r="A36" s="39" t="s">
        <v>14</v>
      </c>
      <c r="B36" s="40">
        <v>99</v>
      </c>
      <c r="C36" s="41"/>
      <c r="D36" s="40">
        <v>1</v>
      </c>
      <c r="E36" s="40">
        <v>100</v>
      </c>
      <c r="H36" s="14" t="s">
        <v>16</v>
      </c>
      <c r="I36" s="14"/>
      <c r="J36" s="42">
        <f t="shared" ref="J36:L38" si="0">C8+B37</f>
        <v>23628</v>
      </c>
      <c r="K36" s="42">
        <f t="shared" si="0"/>
        <v>6872</v>
      </c>
      <c r="L36" s="42">
        <f t="shared" si="0"/>
        <v>6562</v>
      </c>
    </row>
    <row r="37" spans="1:12" ht="15.75" thickBot="1" x14ac:dyDescent="0.3">
      <c r="A37" s="39" t="s">
        <v>16</v>
      </c>
      <c r="B37" s="40">
        <v>393</v>
      </c>
      <c r="C37" s="40">
        <v>18</v>
      </c>
      <c r="D37" s="40">
        <v>191</v>
      </c>
      <c r="E37" s="40">
        <v>602</v>
      </c>
      <c r="H37" s="14" t="s">
        <v>17</v>
      </c>
      <c r="I37" s="14"/>
      <c r="J37" s="42">
        <f t="shared" si="0"/>
        <v>9422</v>
      </c>
      <c r="K37" s="42">
        <f t="shared" si="0"/>
        <v>4597</v>
      </c>
      <c r="L37" s="42">
        <f t="shared" si="0"/>
        <v>4194</v>
      </c>
    </row>
    <row r="38" spans="1:12" ht="15.75" thickBot="1" x14ac:dyDescent="0.3">
      <c r="A38" s="39" t="s">
        <v>17</v>
      </c>
      <c r="B38" s="40">
        <v>38</v>
      </c>
      <c r="C38" s="40">
        <v>169</v>
      </c>
      <c r="D38" s="40">
        <v>226</v>
      </c>
      <c r="E38" s="40">
        <v>433</v>
      </c>
      <c r="H38" s="14" t="s">
        <v>18</v>
      </c>
      <c r="I38" s="14"/>
      <c r="J38" s="42">
        <f t="shared" si="0"/>
        <v>32057</v>
      </c>
      <c r="K38" s="42">
        <f t="shared" si="0"/>
        <v>3419</v>
      </c>
      <c r="L38" s="42">
        <f t="shared" si="0"/>
        <v>5102</v>
      </c>
    </row>
    <row r="39" spans="1:12" ht="23.25" thickBot="1" x14ac:dyDescent="0.3">
      <c r="A39" s="39" t="s">
        <v>18</v>
      </c>
      <c r="B39" s="40">
        <v>66</v>
      </c>
      <c r="C39" s="40">
        <v>218</v>
      </c>
      <c r="D39" s="40">
        <v>189</v>
      </c>
      <c r="E39" s="40">
        <v>473</v>
      </c>
      <c r="H39" s="14" t="s">
        <v>19</v>
      </c>
      <c r="I39" s="14"/>
      <c r="J39" s="11">
        <f>C11+B35</f>
        <v>538</v>
      </c>
      <c r="K39" s="42">
        <f>D11</f>
        <v>1694</v>
      </c>
      <c r="L39" s="11">
        <f>E11</f>
        <v>823</v>
      </c>
    </row>
    <row r="40" spans="1:12" ht="23.25" thickBot="1" x14ac:dyDescent="0.3">
      <c r="A40" s="39" t="s">
        <v>41</v>
      </c>
      <c r="B40" s="40">
        <v>16</v>
      </c>
      <c r="C40" s="41"/>
      <c r="D40" s="41"/>
      <c r="E40" s="40">
        <v>16</v>
      </c>
      <c r="H40" s="14" t="s">
        <v>20</v>
      </c>
      <c r="I40" s="14"/>
      <c r="J40" s="42">
        <f t="shared" ref="J40:L45" si="1">C12+B40</f>
        <v>1588</v>
      </c>
      <c r="K40" s="42">
        <f>D12</f>
        <v>4881</v>
      </c>
      <c r="L40" s="11">
        <f>E12</f>
        <v>824</v>
      </c>
    </row>
    <row r="41" spans="1:12" ht="23.25" thickBot="1" x14ac:dyDescent="0.3">
      <c r="A41" s="39" t="s">
        <v>21</v>
      </c>
      <c r="B41" s="40">
        <v>4</v>
      </c>
      <c r="C41" s="40">
        <v>47</v>
      </c>
      <c r="D41" s="40">
        <v>40</v>
      </c>
      <c r="E41" s="40">
        <v>91</v>
      </c>
      <c r="H41" s="14" t="s">
        <v>21</v>
      </c>
      <c r="I41" s="14"/>
      <c r="J41" s="42">
        <f t="shared" si="1"/>
        <v>13654</v>
      </c>
      <c r="K41" s="42">
        <f t="shared" si="1"/>
        <v>1936</v>
      </c>
      <c r="L41" s="42">
        <f t="shared" si="1"/>
        <v>3494</v>
      </c>
    </row>
    <row r="42" spans="1:12" ht="23.25" thickBot="1" x14ac:dyDescent="0.3">
      <c r="A42" s="39" t="s">
        <v>22</v>
      </c>
      <c r="B42" s="40">
        <v>24</v>
      </c>
      <c r="C42" s="40">
        <v>11</v>
      </c>
      <c r="D42" s="40">
        <v>61</v>
      </c>
      <c r="E42" s="40">
        <v>96</v>
      </c>
      <c r="H42" s="14" t="s">
        <v>22</v>
      </c>
      <c r="I42" s="14"/>
      <c r="J42" s="42">
        <f t="shared" si="1"/>
        <v>15107</v>
      </c>
      <c r="K42" s="11">
        <f t="shared" si="1"/>
        <v>790</v>
      </c>
      <c r="L42" s="11">
        <f t="shared" si="1"/>
        <v>718</v>
      </c>
    </row>
    <row r="43" spans="1:12" ht="23.25" thickBot="1" x14ac:dyDescent="0.3">
      <c r="A43" s="39" t="s">
        <v>23</v>
      </c>
      <c r="B43" s="40">
        <v>17</v>
      </c>
      <c r="C43" s="40">
        <v>67</v>
      </c>
      <c r="D43" s="40">
        <v>8</v>
      </c>
      <c r="E43" s="40">
        <v>92</v>
      </c>
      <c r="H43" s="14" t="s">
        <v>23</v>
      </c>
      <c r="I43" s="11"/>
      <c r="J43" s="42">
        <f t="shared" si="1"/>
        <v>13787</v>
      </c>
      <c r="K43" s="42">
        <f t="shared" si="1"/>
        <v>2206</v>
      </c>
      <c r="L43" s="42">
        <f t="shared" si="1"/>
        <v>2306</v>
      </c>
    </row>
    <row r="44" spans="1:12" ht="15.75" thickBot="1" x14ac:dyDescent="0.3">
      <c r="A44" s="39" t="s">
        <v>24</v>
      </c>
      <c r="B44" s="40">
        <v>8</v>
      </c>
      <c r="C44" s="40"/>
      <c r="D44" s="40"/>
      <c r="E44" s="40">
        <v>8</v>
      </c>
      <c r="H44" s="14" t="s">
        <v>24</v>
      </c>
      <c r="I44" s="11">
        <v>18</v>
      </c>
      <c r="J44" s="42">
        <f t="shared" si="1"/>
        <v>2374</v>
      </c>
      <c r="K44" s="42">
        <f>D16</f>
        <v>4807</v>
      </c>
      <c r="L44" s="42">
        <f>E16</f>
        <v>2131</v>
      </c>
    </row>
    <row r="45" spans="1:12" ht="15.75" thickBot="1" x14ac:dyDescent="0.3">
      <c r="A45" s="39" t="s">
        <v>25</v>
      </c>
      <c r="B45" s="40">
        <v>390</v>
      </c>
      <c r="C45" s="40">
        <v>600</v>
      </c>
      <c r="D45" s="40">
        <v>448</v>
      </c>
      <c r="E45" s="43">
        <v>1438</v>
      </c>
      <c r="H45" s="14" t="s">
        <v>25</v>
      </c>
      <c r="I45" s="11"/>
      <c r="J45" s="42">
        <f t="shared" si="1"/>
        <v>3177</v>
      </c>
      <c r="K45" s="42">
        <f>D17+C45</f>
        <v>33501</v>
      </c>
      <c r="L45" s="42">
        <f>E17+D45</f>
        <v>7414</v>
      </c>
    </row>
    <row r="46" spans="1:12" ht="15.75" thickBot="1" x14ac:dyDescent="0.3">
      <c r="A46" s="39" t="s">
        <v>27</v>
      </c>
      <c r="B46" s="41"/>
      <c r="C46" s="40">
        <v>25</v>
      </c>
      <c r="D46" s="40">
        <v>143</v>
      </c>
      <c r="E46" s="40">
        <v>168</v>
      </c>
      <c r="H46" s="14" t="s">
        <v>26</v>
      </c>
      <c r="I46" s="11"/>
      <c r="J46" s="11">
        <f>C18</f>
        <v>59</v>
      </c>
      <c r="K46" s="11">
        <f>D18</f>
        <v>188</v>
      </c>
      <c r="L46" s="11">
        <f>E18</f>
        <v>18</v>
      </c>
    </row>
    <row r="47" spans="1:12" ht="15.75" thickBot="1" x14ac:dyDescent="0.3">
      <c r="A47" s="39" t="s">
        <v>28</v>
      </c>
      <c r="B47" s="40">
        <v>43</v>
      </c>
      <c r="C47" s="40"/>
      <c r="D47" s="40"/>
      <c r="E47" s="40">
        <v>43</v>
      </c>
      <c r="H47" s="14" t="s">
        <v>27</v>
      </c>
      <c r="I47" s="11"/>
      <c r="J47" s="42">
        <f>C19</f>
        <v>3550</v>
      </c>
      <c r="K47" s="42">
        <f>D19+C46</f>
        <v>8280</v>
      </c>
      <c r="L47" s="42">
        <f>E19+D46</f>
        <v>2814</v>
      </c>
    </row>
    <row r="48" spans="1:12" ht="15.75" thickBot="1" x14ac:dyDescent="0.3">
      <c r="A48" s="39" t="s">
        <v>42</v>
      </c>
      <c r="B48" s="40">
        <v>82</v>
      </c>
      <c r="C48" s="40">
        <v>15</v>
      </c>
      <c r="D48" s="40">
        <v>96</v>
      </c>
      <c r="E48" s="40">
        <v>193</v>
      </c>
      <c r="H48" s="14" t="s">
        <v>28</v>
      </c>
      <c r="I48" s="11"/>
      <c r="J48" s="11">
        <f>C20+B47</f>
        <v>577</v>
      </c>
      <c r="K48" s="42">
        <f>D20</f>
        <v>5760</v>
      </c>
      <c r="L48" s="11">
        <f>E20</f>
        <v>807</v>
      </c>
    </row>
    <row r="49" spans="1:18" ht="15.75" thickBot="1" x14ac:dyDescent="0.3">
      <c r="A49" s="39" t="s">
        <v>30</v>
      </c>
      <c r="B49" s="40">
        <v>75</v>
      </c>
      <c r="C49" s="40">
        <v>19</v>
      </c>
      <c r="D49" s="40">
        <v>7</v>
      </c>
      <c r="E49" s="40">
        <v>101</v>
      </c>
      <c r="H49" s="14" t="s">
        <v>29</v>
      </c>
      <c r="I49" s="11"/>
      <c r="J49" s="42">
        <f>C21+B48</f>
        <v>15507</v>
      </c>
      <c r="K49" s="42">
        <f>D21+C48</f>
        <v>4203</v>
      </c>
      <c r="L49" s="42">
        <f>E21+D48</f>
        <v>6642</v>
      </c>
    </row>
    <row r="50" spans="1:18" ht="15.75" thickBot="1" x14ac:dyDescent="0.3">
      <c r="H50" s="44" t="s">
        <v>30</v>
      </c>
      <c r="I50" s="17"/>
      <c r="J50" s="45">
        <f>C22+B49</f>
        <v>13323</v>
      </c>
      <c r="K50" s="45">
        <f>D22+C49</f>
        <v>1506</v>
      </c>
      <c r="L50" s="45">
        <f>E22+D49</f>
        <v>2556</v>
      </c>
    </row>
    <row r="51" spans="1:18" ht="34.5" thickBot="1" x14ac:dyDescent="0.3">
      <c r="A51" s="46" t="s">
        <v>43</v>
      </c>
      <c r="B51" s="47" t="s">
        <v>8</v>
      </c>
      <c r="C51" s="47" t="s">
        <v>9</v>
      </c>
      <c r="D51" s="47" t="s">
        <v>10</v>
      </c>
      <c r="E51" s="47" t="s">
        <v>32</v>
      </c>
      <c r="J51" s="48">
        <f>SUM(J31:J50)</f>
        <v>188654</v>
      </c>
      <c r="K51">
        <f>SUM(K31:K50)</f>
        <v>108865</v>
      </c>
      <c r="L51">
        <f>SUM(L31:L50)</f>
        <v>63542</v>
      </c>
    </row>
    <row r="52" spans="1:18" ht="15.75" thickBot="1" x14ac:dyDescent="0.3">
      <c r="A52" s="49" t="s">
        <v>33</v>
      </c>
      <c r="B52" s="50">
        <v>1783</v>
      </c>
      <c r="C52" s="50">
        <v>1492</v>
      </c>
      <c r="D52" s="50">
        <v>1820</v>
      </c>
      <c r="E52" s="28">
        <v>5095</v>
      </c>
      <c r="G52" s="48">
        <f>C52+D25</f>
        <v>108865</v>
      </c>
    </row>
    <row r="53" spans="1:18" ht="23.25" thickBot="1" x14ac:dyDescent="0.3">
      <c r="A53" s="51" t="s">
        <v>34</v>
      </c>
      <c r="B53" s="27" t="s">
        <v>44</v>
      </c>
      <c r="C53" s="27" t="s">
        <v>45</v>
      </c>
      <c r="D53" s="27" t="s">
        <v>46</v>
      </c>
      <c r="E53" s="20"/>
      <c r="R53" t="s">
        <v>47</v>
      </c>
    </row>
    <row r="54" spans="1:18" ht="15.75" thickBot="1" x14ac:dyDescent="0.3"/>
    <row r="55" spans="1:18" ht="23.25" thickBot="1" x14ac:dyDescent="0.3">
      <c r="A55" s="52" t="s">
        <v>48</v>
      </c>
      <c r="B55" s="53" t="s">
        <v>7</v>
      </c>
      <c r="C55" s="53" t="s">
        <v>8</v>
      </c>
      <c r="D55" s="53" t="s">
        <v>9</v>
      </c>
      <c r="E55" s="54" t="s">
        <v>10</v>
      </c>
      <c r="F55" s="55" t="s">
        <v>32</v>
      </c>
    </row>
    <row r="56" spans="1:18" ht="15.75" thickBot="1" x14ac:dyDescent="0.3">
      <c r="A56" s="56" t="s">
        <v>33</v>
      </c>
      <c r="B56" s="57">
        <v>18</v>
      </c>
      <c r="C56" s="58">
        <v>188654</v>
      </c>
      <c r="D56" s="59">
        <v>108865</v>
      </c>
      <c r="E56" s="59">
        <v>63542</v>
      </c>
      <c r="F56" s="58">
        <v>361079</v>
      </c>
    </row>
    <row r="57" spans="1:18" ht="23.25" thickBot="1" x14ac:dyDescent="0.3">
      <c r="A57" s="60" t="s">
        <v>34</v>
      </c>
      <c r="B57" s="30">
        <v>5.0000000000000002E-5</v>
      </c>
      <c r="C57" s="31">
        <v>0.52249999999999996</v>
      </c>
      <c r="D57" s="30">
        <v>0.30149999999999999</v>
      </c>
      <c r="E57" s="30">
        <v>0.17599999999999999</v>
      </c>
      <c r="F57" s="61"/>
    </row>
    <row r="60" spans="1:18" x14ac:dyDescent="0.25">
      <c r="C60" t="s">
        <v>49</v>
      </c>
    </row>
    <row r="61" spans="1:18" x14ac:dyDescent="0.25">
      <c r="C61" t="s">
        <v>8</v>
      </c>
      <c r="D61" s="48">
        <v>188654</v>
      </c>
    </row>
    <row r="62" spans="1:18" x14ac:dyDescent="0.25">
      <c r="C62" t="s">
        <v>50</v>
      </c>
      <c r="D62" s="48">
        <v>108865</v>
      </c>
    </row>
    <row r="63" spans="1:18" x14ac:dyDescent="0.25">
      <c r="C63" t="s">
        <v>10</v>
      </c>
      <c r="D63" s="48">
        <v>63542</v>
      </c>
    </row>
    <row r="64" spans="1:18" x14ac:dyDescent="0.25">
      <c r="C64" t="s">
        <v>7</v>
      </c>
      <c r="D64" s="48">
        <v>18</v>
      </c>
    </row>
    <row r="65" spans="3:4" x14ac:dyDescent="0.25">
      <c r="C65" t="s">
        <v>5</v>
      </c>
      <c r="D65" s="48">
        <v>361079</v>
      </c>
    </row>
  </sheetData>
  <mergeCells count="4">
    <mergeCell ref="A1:A2"/>
    <mergeCell ref="F1:F2"/>
    <mergeCell ref="H1:H2"/>
    <mergeCell ref="B29:E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ISA</cp:lastModifiedBy>
  <dcterms:created xsi:type="dcterms:W3CDTF">2015-06-05T18:19:34Z</dcterms:created>
  <dcterms:modified xsi:type="dcterms:W3CDTF">2022-07-29T21:35:35Z</dcterms:modified>
</cp:coreProperties>
</file>